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tabRatio="519"/>
  </bookViews>
  <sheets>
    <sheet name="2026" sheetId="4" r:id="rId1"/>
    <sheet name="2025" sheetId="1" r:id="rId2"/>
    <sheet name="2024" sheetId="2" r:id="rId3"/>
    <sheet name="2023" sheetId="3" r:id="rId4"/>
  </sheets>
  <definedNames>
    <definedName name="_xlnm.Print_Area" localSheetId="1">'2025'!$A$1:$Y$27</definedName>
    <definedName name="_xlnm.Print_Area" localSheetId="0">'2026'!$A$1:$I$27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<sst xmlns="http://schemas.openxmlformats.org/spreadsheetml/2006/main" count="176" uniqueCount="88">
  <si>
    <t>ITEM</t>
  </si>
  <si>
    <r>
      <rPr>
        <b/>
        <sz val="14"/>
        <rFont val="Calibri"/>
        <charset val="134"/>
        <scheme val="minor"/>
      </rPr>
      <t>Reinforcement bars and
other rounds</t>
    </r>
  </si>
  <si>
    <t>TMT 10 mm</t>
  </si>
  <si>
    <t>TMT 25 mm</t>
  </si>
  <si>
    <r>
      <rPr>
        <b/>
        <sz val="14"/>
        <rFont val="Calibri"/>
        <charset val="134"/>
        <scheme val="minor"/>
      </rPr>
      <t>Average of per tone rates of
10mm dia TMT &amp; 25mm dia TMT.</t>
    </r>
  </si>
  <si>
    <t>AVG For Bars</t>
  </si>
  <si>
    <t>All types and sizes of angles, channels and joists</t>
  </si>
  <si>
    <t>Angle 75x75x6mm</t>
  </si>
  <si>
    <t>Channels 150x75mm</t>
  </si>
  <si>
    <t>Plate 10mm</t>
  </si>
  <si>
    <t>Average of per tone rates of ‘Angle 75x75x6mm, Mild Steel Plate 10mm thickness and Channel 150x75mm</t>
  </si>
  <si>
    <t>AVG angles, channels</t>
  </si>
  <si>
    <t>Month</t>
  </si>
  <si>
    <t>All types and sizes of plates</t>
  </si>
  <si>
    <t>PLATE 10 mm</t>
  </si>
  <si>
    <t>PLATE 25 mm</t>
  </si>
  <si>
    <r>
      <rPr>
        <b/>
        <sz val="14"/>
        <rFont val="Calibri"/>
        <charset val="134"/>
        <scheme val="minor"/>
      </rPr>
      <t>Average of per tone rates of ‘MS Plates 10mm
thickness and 25mm</t>
    </r>
  </si>
  <si>
    <t>AVG for Plates</t>
  </si>
  <si>
    <t>For Others  Steel Item other then BAR Angle Channel Plate</t>
  </si>
  <si>
    <t>AVG of Above three index</t>
  </si>
  <si>
    <t>AVG for Other Section Steel</t>
  </si>
  <si>
    <t>05.09.2025</t>
  </si>
  <si>
    <t>19.09.2025</t>
  </si>
  <si>
    <t>06.10.2025</t>
  </si>
  <si>
    <t>22.10.2025</t>
  </si>
  <si>
    <t>06.11.2025</t>
  </si>
  <si>
    <t>19.11.2025</t>
  </si>
  <si>
    <t>05.12.2025</t>
  </si>
  <si>
    <t>19.12.2026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</si>
  <si>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</si>
  <si>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</si>
  <si>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</si>
  <si>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</si>
  <si>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</si>
  <si>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</si>
  <si>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</si>
  <si>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</si>
  <si>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04.01.24</t>
  </si>
  <si>
    <t>20.01.24</t>
  </si>
  <si>
    <t>05.02.24</t>
  </si>
  <si>
    <t>19.02.24</t>
  </si>
  <si>
    <t>05.03.24</t>
  </si>
  <si>
    <t>19.03.24</t>
  </si>
  <si>
    <t>05.04.24</t>
  </si>
  <si>
    <t>20.04.24</t>
  </si>
  <si>
    <t>05.05.24</t>
  </si>
  <si>
    <t>20.05.24</t>
  </si>
  <si>
    <t>05.06.24</t>
  </si>
  <si>
    <t>20.06.24</t>
  </si>
  <si>
    <t>05.07.24</t>
  </si>
  <si>
    <t>20.07.24</t>
  </si>
  <si>
    <t>05.08.24</t>
  </si>
  <si>
    <t>21.08.24</t>
  </si>
  <si>
    <t>05.09.24</t>
  </si>
  <si>
    <t>19.09.24</t>
  </si>
  <si>
    <t>04.10.24</t>
  </si>
  <si>
    <t>19.10.24</t>
  </si>
  <si>
    <t>05.11.24</t>
  </si>
  <si>
    <t>19.11.24</t>
  </si>
  <si>
    <t>05.12.24</t>
  </si>
  <si>
    <t>19.12.24</t>
  </si>
  <si>
    <r>
      <rPr>
        <b/>
        <sz val="10"/>
        <rFont val="Arial"/>
        <charset val="134"/>
      </rPr>
      <t>Reinforcement bars and
other rounds</t>
    </r>
  </si>
  <si>
    <r>
      <rPr>
        <b/>
        <sz val="10"/>
        <rFont val="Arial"/>
        <charset val="134"/>
      </rPr>
      <t>Average of per tone rates of
10mm dia TMT &amp; 25mm dia TMT.</t>
    </r>
  </si>
  <si>
    <r>
      <rPr>
        <b/>
        <sz val="10"/>
        <rFont val="Arial"/>
        <charset val="134"/>
      </rPr>
      <t>Average of per tone rates of ‘MS Plates 10mm
thickness and 25mm</t>
    </r>
  </si>
  <si>
    <t>04.02.23</t>
  </si>
  <si>
    <t>20.02.23</t>
  </si>
  <si>
    <t>04.03.23</t>
  </si>
  <si>
    <t>18.03.23</t>
  </si>
  <si>
    <t>05.04.23</t>
  </si>
  <si>
    <t>20.04.23</t>
  </si>
  <si>
    <t>04.05.23</t>
  </si>
  <si>
    <t>19.05.23</t>
  </si>
  <si>
    <t>05.06.23</t>
  </si>
  <si>
    <t>20.06.23</t>
  </si>
  <si>
    <t>05.07.23</t>
  </si>
  <si>
    <t>19.07.23</t>
  </si>
  <si>
    <t>04.08.23</t>
  </si>
  <si>
    <t>19.08.23</t>
  </si>
  <si>
    <t>05.09.23</t>
  </si>
  <si>
    <t>19.09.23</t>
  </si>
  <si>
    <t>05.10.23</t>
  </si>
  <si>
    <t>18.10.23</t>
  </si>
  <si>
    <t>06.11.23</t>
  </si>
  <si>
    <t>20.11.23</t>
  </si>
  <si>
    <t>05.12.23</t>
  </si>
  <si>
    <r>
      <rPr>
        <b/>
        <sz val="9"/>
        <rFont val="Arial"/>
        <charset val="134"/>
      </rPr>
      <t>Reinforcement bars and
other rounds</t>
    </r>
  </si>
  <si>
    <r>
      <rPr>
        <b/>
        <sz val="9"/>
        <rFont val="Arial"/>
        <charset val="134"/>
      </rPr>
      <t>Average of per tone rates of
10mm dia TMT &amp; 25mm dia TMT.</t>
    </r>
  </si>
  <si>
    <r>
      <rPr>
        <b/>
        <sz val="9"/>
        <rFont val="Arial"/>
        <charset val="134"/>
      </rPr>
      <t>Average of per tone rates of ‘MS Plates 10mm
thickness and 25mm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</si>
</sst>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.mm\.yyyy;@"/>
    <numFmt numFmtId="181" formatCode="mmm/yy"/>
    <numFmt numFmtId="182" formatCode="0.00_ "/>
  </numFmts>
  <fonts count="31">
    <font>
      <sz val="10"/>
      <color rgb="FF000000"/>
      <name val="Times New Roman"/>
      <charset val="204"/>
    </font>
    <font>
      <sz val="9"/>
      <color rgb="FF000000"/>
      <name val="Times New Roman"/>
      <charset val="134"/>
    </font>
    <font>
      <b/>
      <sz val="14"/>
      <color rgb="FF000000"/>
      <name val="Calibri"/>
      <charset val="134"/>
      <scheme val="minor"/>
    </font>
    <font>
      <b/>
      <sz val="9"/>
      <name val="Arial"/>
      <charset val="134"/>
    </font>
    <font>
      <b/>
      <sz val="9"/>
      <color rgb="FF000000"/>
      <name val="Arial"/>
      <charset val="134"/>
    </font>
    <font>
      <sz val="10"/>
      <color rgb="FF000000"/>
      <name val="Times New Roman"/>
      <charset val="134"/>
    </font>
    <font>
      <b/>
      <sz val="10"/>
      <name val="Arial"/>
      <charset val="134"/>
    </font>
    <font>
      <b/>
      <sz val="11"/>
      <name val="Arial"/>
      <charset val="134"/>
    </font>
    <font>
      <b/>
      <sz val="11"/>
      <color rgb="FF000000"/>
      <name val="Arial"/>
      <charset val="134"/>
    </font>
    <font>
      <sz val="14"/>
      <color rgb="FF000000"/>
      <name val="Calibri"/>
      <charset val="134"/>
      <scheme val="minor"/>
    </font>
    <font>
      <b/>
      <sz val="14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/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8" applyNumberFormat="0" applyAlignment="0" applyProtection="0">
      <alignment vertical="center"/>
    </xf>
    <xf numFmtId="0" fontId="21" fillId="4" borderId="19" applyNumberFormat="0" applyAlignment="0" applyProtection="0">
      <alignment vertical="center"/>
    </xf>
    <xf numFmtId="0" fontId="22" fillId="4" borderId="18" applyNumberFormat="0" applyAlignment="0" applyProtection="0">
      <alignment vertical="center"/>
    </xf>
    <xf numFmtId="0" fontId="23" fillId="5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67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80" fontId="2" fillId="0" borderId="1" xfId="0" applyNumberFormat="1" applyFont="1" applyBorder="1" applyAlignment="1">
      <alignment horizontal="center" vertical="center" shrinkToFit="1"/>
    </xf>
    <xf numFmtId="0" fontId="1" fillId="0" borderId="2" xfId="0" applyFont="1" applyBorder="1" applyAlignment="1">
      <alignment horizontal="left" wrapText="1"/>
    </xf>
    <xf numFmtId="181" fontId="3" fillId="0" borderId="2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1" fontId="4" fillId="0" borderId="2" xfId="0" applyNumberFormat="1" applyFont="1" applyBorder="1" applyAlignment="1">
      <alignment horizontal="center" vertical="top" shrinkToFit="1"/>
    </xf>
    <xf numFmtId="176" fontId="3" fillId="0" borderId="3" xfId="1" applyFont="1" applyBorder="1" applyAlignment="1">
      <alignment horizontal="center" vertical="top" wrapText="1"/>
    </xf>
    <xf numFmtId="176" fontId="3" fillId="0" borderId="4" xfId="1" applyFont="1" applyBorder="1" applyAlignment="1">
      <alignment horizontal="center" vertical="top" wrapText="1"/>
    </xf>
    <xf numFmtId="176" fontId="4" fillId="0" borderId="2" xfId="1" applyFont="1" applyBorder="1" applyAlignment="1">
      <alignment horizontal="center" vertical="top" shrinkToFi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2" fontId="4" fillId="0" borderId="2" xfId="0" applyNumberFormat="1" applyFont="1" applyBorder="1" applyAlignment="1">
      <alignment horizontal="center" vertical="top" shrinkToFit="1"/>
    </xf>
    <xf numFmtId="182" fontId="3" fillId="0" borderId="2" xfId="0" applyNumberFormat="1" applyFont="1" applyBorder="1" applyAlignment="1">
      <alignment horizontal="left" vertical="top" wrapText="1"/>
    </xf>
    <xf numFmtId="182" fontId="3" fillId="0" borderId="3" xfId="0" applyNumberFormat="1" applyFont="1" applyBorder="1" applyAlignment="1">
      <alignment horizontal="center" vertical="top" wrapText="1"/>
    </xf>
    <xf numFmtId="182" fontId="3" fillId="0" borderId="4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wrapText="1"/>
    </xf>
    <xf numFmtId="181" fontId="7" fillId="0" borderId="6" xfId="0" applyNumberFormat="1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2" fontId="8" fillId="0" borderId="1" xfId="0" applyNumberFormat="1" applyFont="1" applyBorder="1" applyAlignment="1">
      <alignment horizontal="center" vertical="top" shrinkToFit="1"/>
    </xf>
    <xf numFmtId="2" fontId="8" fillId="0" borderId="8" xfId="0" applyNumberFormat="1" applyFont="1" applyBorder="1" applyAlignment="1">
      <alignment horizontal="center" vertical="top" shrinkToFit="1"/>
    </xf>
    <xf numFmtId="2" fontId="8" fillId="0" borderId="9" xfId="0" applyNumberFormat="1" applyFont="1" applyBorder="1" applyAlignment="1">
      <alignment horizontal="center" vertical="top" shrinkToFit="1"/>
    </xf>
    <xf numFmtId="0" fontId="5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181" fontId="7" fillId="0" borderId="8" xfId="0" applyNumberFormat="1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176" fontId="8" fillId="0" borderId="1" xfId="1" applyFont="1" applyFill="1" applyBorder="1" applyAlignment="1">
      <alignment horizontal="center" vertical="top" shrinkToFit="1"/>
    </xf>
    <xf numFmtId="0" fontId="9" fillId="0" borderId="0" xfId="0" applyFont="1" applyAlignment="1">
      <alignment horizontal="left" vertical="top"/>
    </xf>
    <xf numFmtId="0" fontId="10" fillId="0" borderId="1" xfId="0" applyFont="1" applyBorder="1" applyAlignment="1">
      <alignment horizontal="center" vertical="center" wrapText="1"/>
    </xf>
    <xf numFmtId="180" fontId="2" fillId="0" borderId="8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top"/>
    </xf>
    <xf numFmtId="0" fontId="9" fillId="0" borderId="1" xfId="0" applyFont="1" applyBorder="1" applyAlignment="1">
      <alignment horizontal="left" wrapText="1"/>
    </xf>
    <xf numFmtId="0" fontId="10" fillId="0" borderId="8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top" wrapText="1"/>
    </xf>
    <xf numFmtId="181" fontId="2" fillId="0" borderId="3" xfId="0" applyNumberFormat="1" applyFont="1" applyBorder="1" applyAlignment="1">
      <alignment horizontal="center" vertical="top"/>
    </xf>
    <xf numFmtId="181" fontId="2" fillId="0" borderId="4" xfId="0" applyNumberFormat="1" applyFont="1" applyBorder="1" applyAlignment="1">
      <alignment horizontal="center" vertical="top"/>
    </xf>
    <xf numFmtId="181" fontId="2" fillId="0" borderId="2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2" fontId="2" fillId="0" borderId="1" xfId="0" applyNumberFormat="1" applyFont="1" applyBorder="1" applyAlignment="1">
      <alignment horizontal="center" vertical="top" shrinkToFit="1"/>
    </xf>
    <xf numFmtId="2" fontId="2" fillId="0" borderId="8" xfId="0" applyNumberFormat="1" applyFont="1" applyBorder="1" applyAlignment="1">
      <alignment horizontal="center" vertical="top" shrinkToFit="1"/>
    </xf>
    <xf numFmtId="2" fontId="2" fillId="0" borderId="9" xfId="0" applyNumberFormat="1" applyFont="1" applyBorder="1" applyAlignment="1">
      <alignment horizontal="center" vertical="top" shrinkToFit="1"/>
    </xf>
    <xf numFmtId="2" fontId="2" fillId="0" borderId="11" xfId="0" applyNumberFormat="1" applyFont="1" applyBorder="1" applyAlignment="1">
      <alignment horizontal="center" vertical="top" shrinkToFit="1"/>
    </xf>
    <xf numFmtId="2" fontId="2" fillId="0" borderId="12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wrapText="1"/>
    </xf>
    <xf numFmtId="0" fontId="9" fillId="0" borderId="3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9" fillId="0" borderId="13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14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top" wrapText="1"/>
    </xf>
    <xf numFmtId="181" fontId="10" fillId="0" borderId="8" xfId="0" applyNumberFormat="1" applyFont="1" applyBorder="1" applyAlignment="1">
      <alignment horizontal="center" vertical="top" wrapText="1"/>
    </xf>
    <xf numFmtId="0" fontId="9" fillId="0" borderId="8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176" fontId="2" fillId="0" borderId="1" xfId="1" applyFont="1" applyBorder="1" applyAlignment="1">
      <alignment horizontal="center" vertical="top" shrinkToFi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zoomScale="69" zoomScaleNormal="69" workbookViewId="0">
      <selection activeCell="B7" sqref="B7:C7"/>
    </sheetView>
  </sheetViews>
  <sheetFormatPr defaultColWidth="8.83333333333333" defaultRowHeight="18.75"/>
  <cols>
    <col min="1" max="1" width="63" style="34" customWidth="1"/>
    <col min="2" max="9" width="16.8333333333333" style="34" customWidth="1"/>
    <col min="10" max="16384" width="8.83333333333333" style="34"/>
  </cols>
  <sheetData>
    <row r="1" spans="1:9">
      <c r="A1" s="35" t="s">
        <v>0</v>
      </c>
      <c r="B1" s="2">
        <v>46028</v>
      </c>
      <c r="C1" s="2">
        <v>46042</v>
      </c>
      <c r="D1" s="2">
        <v>46058</v>
      </c>
      <c r="E1" s="2">
        <v>46072</v>
      </c>
      <c r="F1" s="2">
        <v>46087</v>
      </c>
      <c r="G1" s="2">
        <v>46101</v>
      </c>
      <c r="H1" s="2">
        <v>45752</v>
      </c>
      <c r="I1" s="2"/>
    </row>
    <row r="2" spans="1:9">
      <c r="A2" s="38"/>
      <c r="B2" s="63">
        <v>46023</v>
      </c>
      <c r="C2" s="40"/>
      <c r="D2" s="63">
        <v>46054</v>
      </c>
      <c r="E2" s="40"/>
      <c r="F2" s="63">
        <v>46082</v>
      </c>
      <c r="G2" s="40"/>
      <c r="H2" s="63">
        <v>46113</v>
      </c>
      <c r="I2" s="40"/>
    </row>
    <row r="3" ht="37.5" spans="1:9">
      <c r="A3" s="45" t="s">
        <v>1</v>
      </c>
      <c r="B3" s="46"/>
      <c r="C3" s="47"/>
      <c r="D3" s="47"/>
      <c r="E3" s="47"/>
      <c r="F3" s="47"/>
      <c r="G3" s="47"/>
      <c r="H3" s="47"/>
      <c r="I3" s="47"/>
    </row>
    <row r="4" spans="1:9">
      <c r="A4" s="48" t="s">
        <v>2</v>
      </c>
      <c r="B4" s="49">
        <v>59750</v>
      </c>
      <c r="C4" s="49">
        <v>61020</v>
      </c>
      <c r="D4" s="49">
        <v>63380</v>
      </c>
      <c r="E4" s="49">
        <v>63730</v>
      </c>
      <c r="F4" s="49">
        <v>64010</v>
      </c>
      <c r="G4" s="49">
        <v>64830</v>
      </c>
      <c r="H4" s="49">
        <v>66270</v>
      </c>
      <c r="I4" s="49"/>
    </row>
    <row r="5" spans="1:9">
      <c r="A5" s="48" t="s">
        <v>3</v>
      </c>
      <c r="B5" s="49">
        <v>59840</v>
      </c>
      <c r="C5" s="49">
        <v>60320</v>
      </c>
      <c r="D5" s="49">
        <v>62960</v>
      </c>
      <c r="E5" s="49">
        <v>63380</v>
      </c>
      <c r="F5" s="49">
        <v>63720</v>
      </c>
      <c r="G5" s="49">
        <v>64380</v>
      </c>
      <c r="H5" s="49">
        <v>65830</v>
      </c>
      <c r="I5" s="49"/>
    </row>
    <row r="6" ht="37.5" spans="1:9">
      <c r="A6" s="45" t="s">
        <v>4</v>
      </c>
      <c r="B6" s="50">
        <f t="shared" ref="B6:I6" si="0">AVERAGE(B4:B5)</f>
        <v>59795</v>
      </c>
      <c r="C6" s="50">
        <f t="shared" si="0"/>
        <v>60670</v>
      </c>
      <c r="D6" s="50">
        <f t="shared" si="0"/>
        <v>63170</v>
      </c>
      <c r="E6" s="50">
        <f t="shared" si="0"/>
        <v>63555</v>
      </c>
      <c r="F6" s="50">
        <f t="shared" si="0"/>
        <v>63865</v>
      </c>
      <c r="G6" s="50">
        <f t="shared" si="0"/>
        <v>64605</v>
      </c>
      <c r="H6" s="50">
        <f t="shared" si="0"/>
        <v>66050</v>
      </c>
      <c r="I6" s="50" t="e">
        <f t="shared" si="0"/>
        <v>#DIV/0!</v>
      </c>
    </row>
    <row r="7" spans="1:9">
      <c r="A7" s="48" t="s">
        <v>5</v>
      </c>
      <c r="B7" s="51">
        <f t="shared" ref="B7:F7" si="1">AVERAGE(B6:C6)</f>
        <v>60232.5</v>
      </c>
      <c r="C7" s="52"/>
      <c r="D7" s="51">
        <f t="shared" si="1"/>
        <v>63362.5</v>
      </c>
      <c r="E7" s="52"/>
      <c r="F7" s="51">
        <f t="shared" si="1"/>
        <v>64235</v>
      </c>
      <c r="G7" s="52"/>
      <c r="H7" s="51" t="e">
        <f>AVERAGE(H6:I6)</f>
        <v>#DIV/0!</v>
      </c>
      <c r="I7" s="52"/>
    </row>
    <row r="8" spans="1:9">
      <c r="A8" s="55"/>
      <c r="B8" s="55"/>
      <c r="C8" s="55"/>
      <c r="D8" s="55"/>
      <c r="E8" s="55"/>
      <c r="F8" s="55"/>
      <c r="G8" s="55"/>
      <c r="H8" s="55"/>
      <c r="I8" s="55"/>
    </row>
    <row r="9" ht="37.5" spans="1:9">
      <c r="A9" s="48" t="s">
        <v>6</v>
      </c>
      <c r="B9" s="46"/>
      <c r="C9" s="47"/>
      <c r="D9" s="47"/>
      <c r="E9" s="47"/>
      <c r="F9" s="47"/>
      <c r="G9" s="47"/>
      <c r="H9" s="47"/>
      <c r="I9" s="47"/>
    </row>
    <row r="10" spans="1:9">
      <c r="A10" s="48" t="s">
        <v>7</v>
      </c>
      <c r="B10" s="49">
        <v>60350</v>
      </c>
      <c r="C10" s="49">
        <v>60480</v>
      </c>
      <c r="D10" s="49">
        <v>59970</v>
      </c>
      <c r="E10" s="49">
        <v>61570</v>
      </c>
      <c r="F10" s="49">
        <v>62740</v>
      </c>
      <c r="G10" s="49">
        <v>62330</v>
      </c>
      <c r="H10" s="49">
        <v>63650</v>
      </c>
      <c r="I10" s="49"/>
    </row>
    <row r="11" spans="1:9">
      <c r="A11" s="48" t="s">
        <v>8</v>
      </c>
      <c r="B11" s="49">
        <v>62150</v>
      </c>
      <c r="C11" s="49">
        <v>61920</v>
      </c>
      <c r="D11" s="49">
        <v>60660</v>
      </c>
      <c r="E11" s="49">
        <v>60660</v>
      </c>
      <c r="F11" s="49">
        <v>61260</v>
      </c>
      <c r="G11" s="49">
        <v>62620</v>
      </c>
      <c r="H11" s="49">
        <v>63960</v>
      </c>
      <c r="I11" s="49"/>
    </row>
    <row r="12" spans="1:9">
      <c r="A12" s="48" t="s">
        <v>9</v>
      </c>
      <c r="B12" s="49">
        <v>60990</v>
      </c>
      <c r="C12" s="49">
        <v>56490</v>
      </c>
      <c r="D12" s="49">
        <v>58560</v>
      </c>
      <c r="E12" s="49">
        <v>58040</v>
      </c>
      <c r="F12" s="49">
        <v>58770</v>
      </c>
      <c r="G12" s="49">
        <v>60540</v>
      </c>
      <c r="H12" s="49">
        <v>62460</v>
      </c>
      <c r="I12" s="49">
        <v>61870</v>
      </c>
    </row>
    <row r="13" ht="56.25" spans="1:9">
      <c r="A13" s="48" t="s">
        <v>10</v>
      </c>
      <c r="B13" s="49">
        <f t="shared" ref="B13:I13" si="2">AVERAGE(B10:B12)</f>
        <v>61163.3333333333</v>
      </c>
      <c r="C13" s="49">
        <f t="shared" si="2"/>
        <v>59630</v>
      </c>
      <c r="D13" s="49">
        <f t="shared" si="2"/>
        <v>59730</v>
      </c>
      <c r="E13" s="49">
        <f t="shared" si="2"/>
        <v>60090</v>
      </c>
      <c r="F13" s="49">
        <f t="shared" si="2"/>
        <v>60923.3333333333</v>
      </c>
      <c r="G13" s="49">
        <f t="shared" si="2"/>
        <v>61830</v>
      </c>
      <c r="H13" s="49">
        <f t="shared" si="2"/>
        <v>63356.6666666667</v>
      </c>
      <c r="I13" s="49">
        <f t="shared" si="2"/>
        <v>61870</v>
      </c>
    </row>
    <row r="14" spans="1:9">
      <c r="A14" s="48" t="s">
        <v>11</v>
      </c>
      <c r="B14" s="51">
        <f t="shared" ref="B14:F14" si="3">AVERAGE(B13:C13)</f>
        <v>60396.6666666667</v>
      </c>
      <c r="C14" s="52"/>
      <c r="D14" s="51">
        <f t="shared" si="3"/>
        <v>59910</v>
      </c>
      <c r="E14" s="52"/>
      <c r="F14" s="51">
        <f t="shared" si="3"/>
        <v>61376.6666666667</v>
      </c>
      <c r="G14" s="52"/>
      <c r="H14" s="51">
        <f>AVERAGE(H13:I13)</f>
        <v>62613.3333333333</v>
      </c>
      <c r="I14" s="52"/>
    </row>
    <row r="15" spans="1:9">
      <c r="A15" s="62" t="s">
        <v>12</v>
      </c>
      <c r="B15" s="63">
        <v>46023</v>
      </c>
      <c r="C15" s="40"/>
      <c r="D15" s="63">
        <v>46054</v>
      </c>
      <c r="E15" s="40"/>
      <c r="F15" s="63">
        <v>46082</v>
      </c>
      <c r="G15" s="40"/>
      <c r="H15" s="63">
        <v>46113</v>
      </c>
      <c r="I15" s="40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10">
      <c r="A17" s="48" t="s">
        <v>13</v>
      </c>
      <c r="B17" s="64"/>
      <c r="C17" s="65"/>
      <c r="D17" s="65"/>
      <c r="E17" s="65"/>
      <c r="F17" s="65"/>
      <c r="G17" s="65"/>
      <c r="H17" s="65"/>
      <c r="I17" s="65"/>
    </row>
    <row r="18" spans="1:10">
      <c r="A18" s="48" t="s">
        <v>14</v>
      </c>
      <c r="B18" s="49">
        <v>56490</v>
      </c>
      <c r="C18" s="49">
        <v>61870</v>
      </c>
      <c r="D18" s="49">
        <v>64230</v>
      </c>
      <c r="E18" s="49">
        <v>64230</v>
      </c>
      <c r="F18" s="49">
        <v>64820</v>
      </c>
      <c r="G18" s="49">
        <v>66890</v>
      </c>
      <c r="H18" s="49">
        <v>71610</v>
      </c>
      <c r="I18" s="49"/>
    </row>
    <row r="19" spans="1:10">
      <c r="A19" s="48" t="s">
        <v>15</v>
      </c>
      <c r="B19" s="49">
        <v>58330</v>
      </c>
      <c r="C19" s="49">
        <v>64530</v>
      </c>
      <c r="D19" s="49">
        <v>65710</v>
      </c>
      <c r="E19" s="49">
        <v>66300</v>
      </c>
      <c r="F19" s="49">
        <v>68070</v>
      </c>
      <c r="G19" s="49">
        <v>70430</v>
      </c>
      <c r="H19" s="49">
        <v>73970</v>
      </c>
      <c r="I19" s="49"/>
    </row>
    <row r="20" ht="37.5" spans="1:10">
      <c r="A20" s="45" t="s">
        <v>16</v>
      </c>
      <c r="B20" s="50">
        <f t="shared" ref="B20:Y20" si="4">AVERAGE(B18:B19)</f>
        <v>57410</v>
      </c>
      <c r="C20" s="50">
        <f t="shared" si="4"/>
        <v>63200</v>
      </c>
      <c r="D20" s="50">
        <f t="shared" si="4"/>
        <v>64970</v>
      </c>
      <c r="E20" s="50">
        <f t="shared" si="4"/>
        <v>65265</v>
      </c>
      <c r="F20" s="50">
        <f t="shared" si="4"/>
        <v>66445</v>
      </c>
      <c r="G20" s="50">
        <f t="shared" si="4"/>
        <v>68660</v>
      </c>
      <c r="H20" s="50">
        <f t="shared" si="4"/>
        <v>72790</v>
      </c>
      <c r="I20" s="50" t="e">
        <f t="shared" si="4"/>
        <v>#DIV/0!</v>
      </c>
    </row>
    <row r="21" spans="1:10">
      <c r="A21" s="48" t="s">
        <v>17</v>
      </c>
      <c r="B21" s="51">
        <f t="shared" ref="B21:F21" si="5">AVERAGE(B20:C20)</f>
        <v>60305</v>
      </c>
      <c r="C21" s="52"/>
      <c r="D21" s="51">
        <f t="shared" si="5"/>
        <v>65117.5</v>
      </c>
      <c r="E21" s="52"/>
      <c r="F21" s="51">
        <f t="shared" si="5"/>
        <v>67552.5</v>
      </c>
      <c r="G21" s="52"/>
      <c r="H21" s="51" t="e">
        <f>AVERAGE(H20:I20)</f>
        <v>#DIV/0!</v>
      </c>
      <c r="I21" s="52"/>
    </row>
    <row r="22" spans="1:10">
      <c r="A22" s="62" t="s">
        <v>12</v>
      </c>
      <c r="B22" s="63">
        <v>46023</v>
      </c>
      <c r="C22" s="40"/>
      <c r="D22" s="63">
        <v>46054</v>
      </c>
      <c r="E22" s="40"/>
      <c r="F22" s="63">
        <v>46082</v>
      </c>
      <c r="G22" s="40"/>
      <c r="H22" s="63">
        <v>46113</v>
      </c>
      <c r="I22" s="40"/>
    </row>
    <row r="23" spans="1:10">
      <c r="A23" s="55"/>
      <c r="B23" s="55"/>
      <c r="C23" s="55"/>
      <c r="D23" s="55"/>
      <c r="E23" s="55"/>
      <c r="F23" s="55"/>
      <c r="G23" s="55"/>
      <c r="H23" s="55"/>
      <c r="I23" s="55"/>
    </row>
    <row r="24" ht="37.5" spans="1:10">
      <c r="A24" s="48" t="s">
        <v>18</v>
      </c>
      <c r="B24" s="46"/>
      <c r="C24" s="47"/>
      <c r="D24" s="47"/>
      <c r="E24" s="47"/>
      <c r="F24" s="47"/>
      <c r="G24" s="47"/>
      <c r="H24" s="47"/>
      <c r="I24" s="47"/>
      <c r="J24" s="47"/>
    </row>
    <row r="25" spans="1:10">
      <c r="A25" s="48" t="s">
        <v>19</v>
      </c>
      <c r="B25" s="66">
        <f t="shared" ref="B25:Y25" si="6">AVERAGE(B6,B13,B20)</f>
        <v>59456.1111111111</v>
      </c>
      <c r="C25" s="66">
        <f t="shared" si="6"/>
        <v>61166.6666666667</v>
      </c>
      <c r="D25" s="66">
        <f t="shared" si="6"/>
        <v>62623.3333333333</v>
      </c>
      <c r="E25" s="66">
        <f t="shared" si="6"/>
        <v>62970</v>
      </c>
      <c r="F25" s="66">
        <f t="shared" si="6"/>
        <v>63744.4444444444</v>
      </c>
      <c r="G25" s="66">
        <f t="shared" si="6"/>
        <v>65031.6666666667</v>
      </c>
      <c r="H25" s="66">
        <f t="shared" si="6"/>
        <v>67398.8888888889</v>
      </c>
      <c r="I25" s="66" t="e">
        <f t="shared" si="6"/>
        <v>#DIV/0!</v>
      </c>
    </row>
    <row r="26" spans="1:10">
      <c r="A26" s="48" t="s">
        <v>20</v>
      </c>
      <c r="B26" s="51">
        <f t="shared" ref="B26:F26" si="7">AVERAGE(B25:C25)</f>
        <v>60311.3888888889</v>
      </c>
      <c r="C26" s="52"/>
      <c r="D26" s="51">
        <f t="shared" si="7"/>
        <v>62796.6666666667</v>
      </c>
      <c r="E26" s="52"/>
      <c r="F26" s="51">
        <f t="shared" si="7"/>
        <v>64388.0555555556</v>
      </c>
      <c r="G26" s="52"/>
      <c r="H26" s="51" t="e">
        <f>AVERAGE(H25:I25)</f>
        <v>#DIV/0!</v>
      </c>
      <c r="I26" s="52"/>
    </row>
    <row r="27" spans="1:10">
      <c r="A27" s="62" t="s">
        <v>12</v>
      </c>
      <c r="B27" s="63">
        <v>46023</v>
      </c>
      <c r="C27" s="40"/>
      <c r="D27" s="63">
        <v>46054</v>
      </c>
      <c r="E27" s="40"/>
      <c r="F27" s="63">
        <v>46082</v>
      </c>
      <c r="G27" s="40"/>
      <c r="H27" s="63">
        <v>46113</v>
      </c>
      <c r="I27" s="40"/>
    </row>
  </sheetData>
  <mergeCells count="36">
    <mergeCell ref="B2:C2"/>
    <mergeCell ref="D2:E2"/>
    <mergeCell ref="F2:G2"/>
    <mergeCell ref="H2:I2"/>
    <mergeCell ref="B3:I3"/>
    <mergeCell ref="B7:C7"/>
    <mergeCell ref="D7:E7"/>
    <mergeCell ref="F7:G7"/>
    <mergeCell ref="H7:I7"/>
    <mergeCell ref="B9:I9"/>
    <mergeCell ref="B14:C14"/>
    <mergeCell ref="D14:E14"/>
    <mergeCell ref="F14:G14"/>
    <mergeCell ref="H14:I14"/>
    <mergeCell ref="B15:C15"/>
    <mergeCell ref="D15:E15"/>
    <mergeCell ref="F15:G15"/>
    <mergeCell ref="H15:I15"/>
    <mergeCell ref="B17:I17"/>
    <mergeCell ref="B21:C21"/>
    <mergeCell ref="D21:E21"/>
    <mergeCell ref="F21:G21"/>
    <mergeCell ref="H21:I21"/>
    <mergeCell ref="B22:C22"/>
    <mergeCell ref="D22:E22"/>
    <mergeCell ref="F22:G22"/>
    <mergeCell ref="H22:I22"/>
    <mergeCell ref="B24:I24"/>
    <mergeCell ref="B26:C26"/>
    <mergeCell ref="D26:E26"/>
    <mergeCell ref="F26:G26"/>
    <mergeCell ref="H26:I26"/>
    <mergeCell ref="B27:C27"/>
    <mergeCell ref="D27:E27"/>
    <mergeCell ref="F27:G27"/>
    <mergeCell ref="H27:I27"/>
  </mergeCells>
  <pageMargins left="0.7" right="0.7" top="0.75" bottom="0.75" header="0.3" footer="0.3"/>
  <pageSetup paperSize="1" scale="2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7"/>
  <sheetViews>
    <sheetView zoomScale="69" zoomScaleNormal="69" topLeftCell="B1" workbookViewId="0">
      <selection activeCell="B6" sqref="B6"/>
    </sheetView>
  </sheetViews>
  <sheetFormatPr defaultColWidth="8.83333333333333" defaultRowHeight="18.75"/>
  <cols>
    <col min="1" max="1" width="63" style="34" customWidth="1"/>
    <col min="2" max="25" width="16.8333333333333" style="34" customWidth="1"/>
    <col min="26" max="16384" width="8.83333333333333" style="34"/>
  </cols>
  <sheetData>
    <row r="1" spans="1:25">
      <c r="A1" s="35" t="s">
        <v>0</v>
      </c>
      <c r="B1" s="2">
        <v>45661</v>
      </c>
      <c r="C1" s="2">
        <v>45677</v>
      </c>
      <c r="D1" s="2">
        <v>45693</v>
      </c>
      <c r="E1" s="2">
        <v>45707</v>
      </c>
      <c r="F1" s="2">
        <v>45721</v>
      </c>
      <c r="G1" s="2">
        <v>45735</v>
      </c>
      <c r="H1" s="2">
        <v>45752</v>
      </c>
      <c r="I1" s="2">
        <v>45766</v>
      </c>
      <c r="J1" s="2">
        <v>45782</v>
      </c>
      <c r="K1" s="2">
        <v>45796</v>
      </c>
      <c r="L1" s="2">
        <v>45813</v>
      </c>
      <c r="M1" s="2">
        <v>45827</v>
      </c>
      <c r="N1" s="2">
        <v>45842</v>
      </c>
      <c r="O1" s="2">
        <v>45857</v>
      </c>
      <c r="P1" s="2">
        <v>45874</v>
      </c>
      <c r="Q1" s="36">
        <v>45888</v>
      </c>
      <c r="R1" s="37" t="s">
        <v>21</v>
      </c>
      <c r="S1" s="37" t="s">
        <v>22</v>
      </c>
      <c r="T1" s="37" t="s">
        <v>23</v>
      </c>
      <c r="U1" s="37" t="s">
        <v>24</v>
      </c>
      <c r="V1" s="37" t="s">
        <v>25</v>
      </c>
      <c r="W1" s="37" t="s">
        <v>26</v>
      </c>
      <c r="X1" s="37" t="s">
        <v>27</v>
      </c>
      <c r="Y1" s="37" t="s">
        <v>28</v>
      </c>
    </row>
    <row r="2" spans="1:25">
      <c r="A2" s="38"/>
      <c r="B2" s="39" t="s">
        <v>29</v>
      </c>
      <c r="C2" s="40"/>
      <c r="D2" s="39" t="s">
        <v>30</v>
      </c>
      <c r="E2" s="40"/>
      <c r="F2" s="39" t="s">
        <v>31</v>
      </c>
      <c r="G2" s="40"/>
      <c r="H2" s="39" t="s">
        <v>32</v>
      </c>
      <c r="I2" s="40"/>
      <c r="J2" s="39" t="s">
        <v>33</v>
      </c>
      <c r="K2" s="40"/>
      <c r="L2" s="39" t="s">
        <v>34</v>
      </c>
      <c r="M2" s="40"/>
      <c r="N2" s="39" t="s">
        <v>35</v>
      </c>
      <c r="O2" s="40"/>
      <c r="P2" s="39" t="s">
        <v>36</v>
      </c>
      <c r="Q2" s="41"/>
      <c r="R2" s="42">
        <v>45901</v>
      </c>
      <c r="S2" s="43"/>
      <c r="T2" s="44">
        <v>45931</v>
      </c>
      <c r="U2" s="44"/>
      <c r="V2" s="44">
        <v>45962</v>
      </c>
      <c r="W2" s="44"/>
      <c r="X2" s="44">
        <v>45992</v>
      </c>
      <c r="Y2" s="44"/>
    </row>
    <row r="3" ht="37.5" spans="1:25">
      <c r="A3" s="45" t="s">
        <v>1</v>
      </c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</row>
    <row r="4" spans="1:25">
      <c r="A4" s="48" t="s">
        <v>2</v>
      </c>
      <c r="B4" s="49">
        <v>58890</v>
      </c>
      <c r="C4" s="49">
        <v>58780</v>
      </c>
      <c r="D4" s="49">
        <v>58470</v>
      </c>
      <c r="E4" s="49">
        <v>57890</v>
      </c>
      <c r="F4" s="49">
        <v>59760</v>
      </c>
      <c r="G4" s="49">
        <v>60460</v>
      </c>
      <c r="H4" s="49">
        <v>63190</v>
      </c>
      <c r="I4" s="49">
        <v>61180</v>
      </c>
      <c r="J4" s="49">
        <v>60310</v>
      </c>
      <c r="K4" s="49">
        <v>59860</v>
      </c>
      <c r="L4" s="49">
        <v>58090</v>
      </c>
      <c r="M4" s="49">
        <v>55950</v>
      </c>
      <c r="N4" s="49">
        <v>56050</v>
      </c>
      <c r="O4" s="49">
        <v>53660</v>
      </c>
      <c r="P4" s="49">
        <v>54030</v>
      </c>
      <c r="Q4" s="49">
        <v>55740</v>
      </c>
      <c r="R4" s="49">
        <v>54560</v>
      </c>
      <c r="S4" s="49">
        <v>54280</v>
      </c>
      <c r="T4" s="49">
        <v>53740</v>
      </c>
      <c r="U4" s="49">
        <v>52200</v>
      </c>
      <c r="V4" s="49">
        <v>51990</v>
      </c>
      <c r="W4" s="49">
        <v>52360</v>
      </c>
      <c r="X4" s="49">
        <v>52700</v>
      </c>
      <c r="Y4" s="49">
        <v>52700</v>
      </c>
    </row>
    <row r="5" spans="1:25">
      <c r="A5" s="48" t="s">
        <v>3</v>
      </c>
      <c r="B5" s="49">
        <v>58280</v>
      </c>
      <c r="C5" s="49">
        <v>58160</v>
      </c>
      <c r="D5" s="49">
        <v>57860</v>
      </c>
      <c r="E5" s="49">
        <v>57440</v>
      </c>
      <c r="F5" s="49">
        <v>59430</v>
      </c>
      <c r="G5" s="49">
        <v>60100</v>
      </c>
      <c r="H5" s="49">
        <v>62570</v>
      </c>
      <c r="I5" s="49">
        <v>60730</v>
      </c>
      <c r="J5" s="49">
        <v>59790</v>
      </c>
      <c r="K5" s="49">
        <v>59100</v>
      </c>
      <c r="L5" s="49">
        <v>57290</v>
      </c>
      <c r="M5" s="49">
        <v>55430</v>
      </c>
      <c r="N5" s="49">
        <v>54980</v>
      </c>
      <c r="O5" s="49">
        <v>53020</v>
      </c>
      <c r="P5" s="49">
        <v>53410</v>
      </c>
      <c r="Q5" s="49">
        <v>55150</v>
      </c>
      <c r="R5" s="49">
        <v>54050</v>
      </c>
      <c r="S5" s="49">
        <v>53670</v>
      </c>
      <c r="T5" s="49">
        <v>53310</v>
      </c>
      <c r="U5" s="49">
        <v>51760</v>
      </c>
      <c r="V5" s="49">
        <v>51560</v>
      </c>
      <c r="W5" s="49">
        <v>52010</v>
      </c>
      <c r="X5" s="49">
        <v>52170</v>
      </c>
      <c r="Y5" s="49">
        <v>52170</v>
      </c>
    </row>
    <row r="6" ht="37.5" spans="1:25">
      <c r="A6" s="45" t="s">
        <v>4</v>
      </c>
      <c r="B6" s="50">
        <f>AVERAGE(B4:B5)</f>
        <v>58585</v>
      </c>
      <c r="C6" s="50">
        <f t="shared" ref="C6:Q6" si="0">AVERAGE(C4:C5)</f>
        <v>58470</v>
      </c>
      <c r="D6" s="50">
        <f t="shared" si="0"/>
        <v>58165</v>
      </c>
      <c r="E6" s="50">
        <f t="shared" si="0"/>
        <v>57665</v>
      </c>
      <c r="F6" s="50">
        <f t="shared" si="0"/>
        <v>59595</v>
      </c>
      <c r="G6" s="50">
        <f t="shared" si="0"/>
        <v>60280</v>
      </c>
      <c r="H6" s="50">
        <f t="shared" si="0"/>
        <v>62880</v>
      </c>
      <c r="I6" s="50">
        <f t="shared" si="0"/>
        <v>60955</v>
      </c>
      <c r="J6" s="50">
        <f t="shared" si="0"/>
        <v>60050</v>
      </c>
      <c r="K6" s="50">
        <f t="shared" si="0"/>
        <v>59480</v>
      </c>
      <c r="L6" s="50">
        <f t="shared" si="0"/>
        <v>57690</v>
      </c>
      <c r="M6" s="50">
        <f t="shared" si="0"/>
        <v>55690</v>
      </c>
      <c r="N6" s="50">
        <f t="shared" si="0"/>
        <v>55515</v>
      </c>
      <c r="O6" s="50">
        <f t="shared" si="0"/>
        <v>53340</v>
      </c>
      <c r="P6" s="50">
        <f t="shared" si="0"/>
        <v>53720</v>
      </c>
      <c r="Q6" s="50">
        <f t="shared" si="0"/>
        <v>55445</v>
      </c>
      <c r="R6" s="50">
        <f t="shared" ref="R6" si="1">AVERAGE(R4:R5)</f>
        <v>54305</v>
      </c>
      <c r="S6" s="50">
        <f t="shared" ref="S6" si="2">AVERAGE(S4:S5)</f>
        <v>53975</v>
      </c>
      <c r="T6" s="50">
        <f t="shared" ref="T6" si="3">AVERAGE(T4:T5)</f>
        <v>53525</v>
      </c>
      <c r="U6" s="50">
        <f t="shared" ref="U6" si="4">AVERAGE(U4:U5)</f>
        <v>51980</v>
      </c>
      <c r="V6" s="50">
        <f t="shared" ref="V6" si="5">AVERAGE(V4:V5)</f>
        <v>51775</v>
      </c>
      <c r="W6" s="50">
        <f t="shared" ref="W6:Y6" si="6">AVERAGE(W4:W5)</f>
        <v>52185</v>
      </c>
      <c r="X6" s="50">
        <f t="shared" si="6"/>
        <v>52435</v>
      </c>
      <c r="Y6" s="50">
        <f t="shared" si="6"/>
        <v>52435</v>
      </c>
    </row>
    <row r="7" spans="1:25">
      <c r="A7" s="48" t="s">
        <v>5</v>
      </c>
      <c r="B7" s="51">
        <f>AVERAGE(B6:C6)</f>
        <v>58527.5</v>
      </c>
      <c r="C7" s="52"/>
      <c r="D7" s="51">
        <f t="shared" ref="D7" si="7">AVERAGE(D6:E6)</f>
        <v>57915</v>
      </c>
      <c r="E7" s="52"/>
      <c r="F7" s="51">
        <f t="shared" ref="F7" si="8">AVERAGE(F6:G6)</f>
        <v>59937.5</v>
      </c>
      <c r="G7" s="52"/>
      <c r="H7" s="51">
        <f t="shared" ref="H7" si="9">AVERAGE(H6:I6)</f>
        <v>61917.5</v>
      </c>
      <c r="I7" s="52"/>
      <c r="J7" s="51">
        <f t="shared" ref="J7" si="10">AVERAGE(J6:K6)</f>
        <v>59765</v>
      </c>
      <c r="K7" s="52"/>
      <c r="L7" s="51">
        <f t="shared" ref="L7" si="11">AVERAGE(L6:M6)</f>
        <v>56690</v>
      </c>
      <c r="M7" s="52"/>
      <c r="N7" s="53">
        <f t="shared" ref="N7" si="12">AVERAGE(N6:O6)</f>
        <v>54427.5</v>
      </c>
      <c r="O7" s="54"/>
      <c r="P7" s="53">
        <f t="shared" ref="P7" si="13">AVERAGE(P6:Q6)</f>
        <v>54582.5</v>
      </c>
      <c r="Q7" s="54"/>
      <c r="R7" s="53">
        <f t="shared" ref="R7" si="14">AVERAGE(R6:S6)</f>
        <v>54140</v>
      </c>
      <c r="S7" s="54"/>
      <c r="T7" s="53">
        <f t="shared" ref="T7" si="15">AVERAGE(T6:U6)</f>
        <v>52752.5</v>
      </c>
      <c r="U7" s="54"/>
      <c r="V7" s="53">
        <f t="shared" ref="V7" si="16">AVERAGE(V6:W6)</f>
        <v>51980</v>
      </c>
      <c r="W7" s="54"/>
      <c r="X7" s="53">
        <f>AVERAGE(X6:Y6)</f>
        <v>52435</v>
      </c>
      <c r="Y7" s="54"/>
    </row>
    <row r="8" spans="1:25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6"/>
      <c r="O8" s="57"/>
      <c r="P8" s="57"/>
      <c r="Q8" s="58"/>
      <c r="R8" s="59"/>
      <c r="S8" s="59"/>
      <c r="T8" s="59"/>
      <c r="U8" s="59"/>
      <c r="V8" s="59"/>
      <c r="W8" s="59"/>
      <c r="X8" s="59"/>
      <c r="Y8" s="60"/>
    </row>
    <row r="9" ht="37.5" spans="1:25">
      <c r="A9" s="48" t="s">
        <v>6</v>
      </c>
      <c r="B9" s="46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61"/>
      <c r="O9" s="61"/>
      <c r="P9" s="61"/>
      <c r="Q9" s="61"/>
    </row>
    <row r="10" spans="1:25">
      <c r="A10" s="48" t="s">
        <v>7</v>
      </c>
      <c r="B10" s="49">
        <v>58410</v>
      </c>
      <c r="C10" s="49">
        <v>58470</v>
      </c>
      <c r="D10" s="49">
        <v>59260</v>
      </c>
      <c r="E10" s="49">
        <v>58520</v>
      </c>
      <c r="F10" s="49">
        <v>58550</v>
      </c>
      <c r="G10" s="49">
        <v>58890</v>
      </c>
      <c r="H10" s="49">
        <v>60250</v>
      </c>
      <c r="I10" s="49">
        <v>59990</v>
      </c>
      <c r="J10" s="49">
        <v>59570</v>
      </c>
      <c r="K10" s="49">
        <v>59540</v>
      </c>
      <c r="L10" s="49">
        <v>57760</v>
      </c>
      <c r="M10" s="49">
        <v>57270</v>
      </c>
      <c r="N10" s="49">
        <v>55820</v>
      </c>
      <c r="O10" s="49">
        <v>55260</v>
      </c>
      <c r="P10" s="49">
        <v>56100</v>
      </c>
      <c r="Q10" s="49">
        <v>55860</v>
      </c>
      <c r="R10" s="49">
        <v>55530</v>
      </c>
      <c r="S10" s="49">
        <v>55470</v>
      </c>
      <c r="T10" s="49">
        <v>54670</v>
      </c>
      <c r="U10" s="49">
        <v>53550</v>
      </c>
      <c r="V10" s="49">
        <v>53390</v>
      </c>
      <c r="W10" s="49">
        <v>53440</v>
      </c>
      <c r="X10" s="49">
        <v>53660</v>
      </c>
      <c r="Y10" s="49">
        <v>53650</v>
      </c>
    </row>
    <row r="11" spans="1:25">
      <c r="A11" s="48" t="s">
        <v>8</v>
      </c>
      <c r="B11" s="49">
        <v>59130</v>
      </c>
      <c r="C11" s="49">
        <v>59310</v>
      </c>
      <c r="D11" s="49">
        <v>59880</v>
      </c>
      <c r="E11" s="49">
        <v>59460</v>
      </c>
      <c r="F11" s="49">
        <v>59620</v>
      </c>
      <c r="G11" s="49">
        <v>59870</v>
      </c>
      <c r="H11" s="49">
        <v>61280</v>
      </c>
      <c r="I11" s="49">
        <v>60950</v>
      </c>
      <c r="J11" s="49">
        <v>60490</v>
      </c>
      <c r="K11" s="49">
        <v>60470</v>
      </c>
      <c r="L11" s="49">
        <v>59130</v>
      </c>
      <c r="M11" s="49">
        <v>57630</v>
      </c>
      <c r="N11" s="49">
        <v>56320</v>
      </c>
      <c r="O11" s="49">
        <v>55770</v>
      </c>
      <c r="P11" s="49">
        <v>57000</v>
      </c>
      <c r="Q11" s="49">
        <v>56800</v>
      </c>
      <c r="R11" s="49">
        <v>56180</v>
      </c>
      <c r="S11" s="49">
        <v>55930</v>
      </c>
      <c r="T11" s="49">
        <v>55370</v>
      </c>
      <c r="U11" s="49">
        <v>54860</v>
      </c>
      <c r="V11" s="49">
        <v>54550</v>
      </c>
      <c r="W11" s="49">
        <v>54520</v>
      </c>
      <c r="X11" s="49">
        <v>54230</v>
      </c>
      <c r="Y11" s="49">
        <v>54300</v>
      </c>
    </row>
    <row r="12" spans="1:25">
      <c r="A12" s="48" t="s">
        <v>9</v>
      </c>
      <c r="B12" s="49">
        <v>56490</v>
      </c>
      <c r="C12" s="49">
        <v>56490</v>
      </c>
      <c r="D12" s="49">
        <v>58560</v>
      </c>
      <c r="E12" s="49">
        <v>58040</v>
      </c>
      <c r="F12" s="49">
        <v>58770</v>
      </c>
      <c r="G12" s="49">
        <v>60540</v>
      </c>
      <c r="H12" s="49">
        <v>62460</v>
      </c>
      <c r="I12" s="49">
        <v>61870</v>
      </c>
      <c r="J12" s="49">
        <v>63010</v>
      </c>
      <c r="K12" s="49">
        <v>62490</v>
      </c>
      <c r="L12" s="49">
        <v>61980</v>
      </c>
      <c r="M12" s="49">
        <v>61460</v>
      </c>
      <c r="N12" s="49">
        <v>60650</v>
      </c>
      <c r="O12" s="49">
        <v>59510</v>
      </c>
      <c r="P12" s="49">
        <v>60180</v>
      </c>
      <c r="Q12" s="49">
        <v>59740</v>
      </c>
      <c r="R12" s="49">
        <v>59510</v>
      </c>
      <c r="S12" s="49">
        <v>59290</v>
      </c>
      <c r="T12" s="49">
        <v>58620</v>
      </c>
      <c r="U12" s="49">
        <v>57850</v>
      </c>
      <c r="V12" s="49">
        <v>57220</v>
      </c>
      <c r="W12" s="49">
        <v>55680</v>
      </c>
      <c r="X12" s="49">
        <v>55090</v>
      </c>
      <c r="Y12" s="49">
        <v>54790</v>
      </c>
    </row>
    <row r="13" ht="56.25" spans="1:25">
      <c r="A13" s="48" t="s">
        <v>10</v>
      </c>
      <c r="B13" s="49">
        <f>AVERAGE(B10:B12)</f>
        <v>58010</v>
      </c>
      <c r="C13" s="49">
        <f t="shared" ref="C13:Q13" si="17">AVERAGE(C10:C12)</f>
        <v>58090</v>
      </c>
      <c r="D13" s="49">
        <f t="shared" si="17"/>
        <v>59233.3333333333</v>
      </c>
      <c r="E13" s="49">
        <f t="shared" si="17"/>
        <v>58673.3333333333</v>
      </c>
      <c r="F13" s="49">
        <f t="shared" si="17"/>
        <v>58980</v>
      </c>
      <c r="G13" s="49">
        <f t="shared" si="17"/>
        <v>59766.6666666667</v>
      </c>
      <c r="H13" s="49">
        <f t="shared" si="17"/>
        <v>61330</v>
      </c>
      <c r="I13" s="49">
        <f t="shared" si="17"/>
        <v>60936.6666666667</v>
      </c>
      <c r="J13" s="49">
        <f t="shared" si="17"/>
        <v>61023.3333333333</v>
      </c>
      <c r="K13" s="49">
        <f t="shared" si="17"/>
        <v>60833.3333333333</v>
      </c>
      <c r="L13" s="49">
        <f t="shared" si="17"/>
        <v>59623.3333333333</v>
      </c>
      <c r="M13" s="49">
        <f t="shared" si="17"/>
        <v>58786.6666666667</v>
      </c>
      <c r="N13" s="49">
        <f t="shared" si="17"/>
        <v>57596.6666666667</v>
      </c>
      <c r="O13" s="49">
        <f t="shared" si="17"/>
        <v>56846.6666666667</v>
      </c>
      <c r="P13" s="49">
        <f t="shared" si="17"/>
        <v>57760</v>
      </c>
      <c r="Q13" s="49">
        <f t="shared" si="17"/>
        <v>57466.6666666667</v>
      </c>
      <c r="R13" s="49">
        <f t="shared" ref="R13" si="18">AVERAGE(R10:R12)</f>
        <v>57073.3333333333</v>
      </c>
      <c r="S13" s="49">
        <f t="shared" ref="S13:T13" si="19">AVERAGE(S10:S12)</f>
        <v>56896.6666666667</v>
      </c>
      <c r="T13" s="49">
        <f t="shared" si="19"/>
        <v>56220</v>
      </c>
      <c r="U13" s="49">
        <f t="shared" ref="U13" si="20">AVERAGE(U10:U12)</f>
        <v>55420</v>
      </c>
      <c r="V13" s="49">
        <f t="shared" ref="V13" si="21">AVERAGE(V10:V12)</f>
        <v>55053.3333333333</v>
      </c>
      <c r="W13" s="49">
        <f t="shared" ref="W13:Y13" si="22">AVERAGE(W10:W12)</f>
        <v>54546.6666666667</v>
      </c>
      <c r="X13" s="49">
        <f t="shared" si="22"/>
        <v>54326.6666666667</v>
      </c>
      <c r="Y13" s="49">
        <f t="shared" si="22"/>
        <v>54246.6666666667</v>
      </c>
    </row>
    <row r="14" spans="1:25">
      <c r="A14" s="48" t="s">
        <v>11</v>
      </c>
      <c r="B14" s="51">
        <f>AVERAGE(B13:C13)</f>
        <v>58050</v>
      </c>
      <c r="C14" s="52"/>
      <c r="D14" s="51">
        <f>AVERAGE(D13:E13)</f>
        <v>58953.3333333333</v>
      </c>
      <c r="E14" s="52"/>
      <c r="F14" s="51">
        <f t="shared" ref="F14" si="23">AVERAGE(F13:G13)</f>
        <v>59373.3333333333</v>
      </c>
      <c r="G14" s="52"/>
      <c r="H14" s="51">
        <f t="shared" ref="H14" si="24">AVERAGE(H13:I13)</f>
        <v>61133.3333333333</v>
      </c>
      <c r="I14" s="52"/>
      <c r="J14" s="51">
        <f t="shared" ref="J14" si="25">AVERAGE(J13:K13)</f>
        <v>60928.3333333333</v>
      </c>
      <c r="K14" s="52"/>
      <c r="L14" s="51">
        <f t="shared" ref="L14" si="26">AVERAGE(L13:M13)</f>
        <v>59205</v>
      </c>
      <c r="M14" s="52"/>
      <c r="N14" s="51">
        <f t="shared" ref="N14" si="27">AVERAGE(N13:O13)</f>
        <v>57221.6666666667</v>
      </c>
      <c r="O14" s="52"/>
      <c r="P14" s="51">
        <f t="shared" ref="P14" si="28">AVERAGE(P13:Q13)</f>
        <v>57613.3333333333</v>
      </c>
      <c r="Q14" s="52"/>
      <c r="R14" s="51">
        <f t="shared" ref="R14" si="29">AVERAGE(R13:S13)</f>
        <v>56985</v>
      </c>
      <c r="S14" s="52"/>
      <c r="T14" s="51">
        <f t="shared" ref="T14" si="30">AVERAGE(T13:U13)</f>
        <v>55820</v>
      </c>
      <c r="U14" s="52"/>
      <c r="V14" s="51">
        <f t="shared" ref="V14" si="31">AVERAGE(V13:W13)</f>
        <v>54800</v>
      </c>
      <c r="W14" s="52"/>
      <c r="X14" s="51">
        <f>AVERAGE(X13:Y13)</f>
        <v>54286.6666666667</v>
      </c>
      <c r="Y14" s="52"/>
    </row>
    <row r="15" spans="1:25">
      <c r="A15" s="62" t="s">
        <v>12</v>
      </c>
      <c r="B15" s="39" t="s">
        <v>29</v>
      </c>
      <c r="C15" s="40"/>
      <c r="D15" s="39" t="s">
        <v>30</v>
      </c>
      <c r="E15" s="40"/>
      <c r="F15" s="39" t="s">
        <v>31</v>
      </c>
      <c r="G15" s="40"/>
      <c r="H15" s="39" t="s">
        <v>32</v>
      </c>
      <c r="I15" s="40"/>
      <c r="J15" s="39" t="s">
        <v>33</v>
      </c>
      <c r="K15" s="40"/>
      <c r="L15" s="39" t="s">
        <v>34</v>
      </c>
      <c r="M15" s="40"/>
      <c r="N15" s="39" t="s">
        <v>35</v>
      </c>
      <c r="O15" s="40"/>
      <c r="P15" s="39" t="s">
        <v>36</v>
      </c>
      <c r="Q15" s="40"/>
      <c r="R15" s="63">
        <v>45901</v>
      </c>
      <c r="S15" s="40"/>
      <c r="T15" s="63">
        <v>45931</v>
      </c>
      <c r="U15" s="40"/>
      <c r="V15" s="63">
        <v>45962</v>
      </c>
      <c r="W15" s="40"/>
      <c r="X15" s="63">
        <v>45962</v>
      </c>
      <c r="Y15" s="40"/>
    </row>
    <row r="16" spans="1: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</row>
    <row r="17" spans="1:33">
      <c r="A17" s="48" t="s">
        <v>13</v>
      </c>
      <c r="B17" s="64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</row>
    <row r="18" spans="1:33">
      <c r="A18" s="48" t="s">
        <v>14</v>
      </c>
      <c r="B18" s="49">
        <v>56490</v>
      </c>
      <c r="C18" s="49">
        <v>56490</v>
      </c>
      <c r="D18" s="49">
        <v>58560</v>
      </c>
      <c r="E18" s="49">
        <v>58040</v>
      </c>
      <c r="F18" s="49">
        <v>58770</v>
      </c>
      <c r="G18" s="49">
        <v>60540</v>
      </c>
      <c r="H18" s="49">
        <v>62460</v>
      </c>
      <c r="I18" s="49">
        <v>61870</v>
      </c>
      <c r="J18" s="49">
        <v>63010</v>
      </c>
      <c r="K18" s="49">
        <v>62490</v>
      </c>
      <c r="L18" s="49">
        <v>61980</v>
      </c>
      <c r="M18" s="49">
        <v>61460</v>
      </c>
      <c r="N18" s="49">
        <v>60650</v>
      </c>
      <c r="O18" s="49">
        <v>59510</v>
      </c>
      <c r="P18" s="49">
        <v>60180</v>
      </c>
      <c r="Q18" s="49">
        <v>59740</v>
      </c>
      <c r="R18" s="49">
        <v>59510</v>
      </c>
      <c r="S18" s="49">
        <v>59290</v>
      </c>
      <c r="T18" s="49">
        <v>58620</v>
      </c>
      <c r="U18" s="49">
        <v>57850</v>
      </c>
      <c r="V18" s="49">
        <v>57220</v>
      </c>
      <c r="W18" s="49">
        <v>55680</v>
      </c>
      <c r="X18" s="49">
        <v>55090</v>
      </c>
      <c r="Y18" s="49">
        <v>54790</v>
      </c>
    </row>
    <row r="19" spans="1:33">
      <c r="A19" s="48" t="s">
        <v>15</v>
      </c>
      <c r="B19" s="49">
        <v>58330</v>
      </c>
      <c r="C19" s="49">
        <v>58330</v>
      </c>
      <c r="D19" s="49">
        <v>59800</v>
      </c>
      <c r="E19" s="49">
        <v>59510</v>
      </c>
      <c r="F19" s="49">
        <v>59800</v>
      </c>
      <c r="G19" s="49">
        <v>61870</v>
      </c>
      <c r="H19" s="49">
        <v>63640</v>
      </c>
      <c r="I19" s="49">
        <v>63640</v>
      </c>
      <c r="J19" s="49">
        <v>64820</v>
      </c>
      <c r="K19" s="49">
        <v>64230</v>
      </c>
      <c r="L19" s="49">
        <v>63640</v>
      </c>
      <c r="M19" s="49">
        <v>62460</v>
      </c>
      <c r="N19" s="49">
        <v>62460</v>
      </c>
      <c r="O19" s="49">
        <v>61580</v>
      </c>
      <c r="P19" s="49">
        <v>62020</v>
      </c>
      <c r="Q19" s="49">
        <v>62020</v>
      </c>
      <c r="R19" s="49">
        <v>62020</v>
      </c>
      <c r="S19" s="49">
        <v>62170</v>
      </c>
      <c r="T19" s="49">
        <v>61720</v>
      </c>
      <c r="U19" s="49">
        <v>61210</v>
      </c>
      <c r="V19" s="49">
        <v>60100</v>
      </c>
      <c r="W19" s="49">
        <v>59810</v>
      </c>
      <c r="X19" s="49">
        <v>58630</v>
      </c>
      <c r="Y19" s="49">
        <v>58630</v>
      </c>
    </row>
    <row r="20" ht="37.5" spans="1:33">
      <c r="A20" s="45" t="s">
        <v>16</v>
      </c>
      <c r="B20" s="50">
        <f>AVERAGE(B18:B19)</f>
        <v>57410</v>
      </c>
      <c r="C20" s="50">
        <f>AVERAGE(C18:C19)</f>
        <v>57410</v>
      </c>
      <c r="D20" s="50">
        <f t="shared" ref="D20:Q20" si="32">AVERAGE(D18:D19)</f>
        <v>59180</v>
      </c>
      <c r="E20" s="50">
        <f t="shared" si="32"/>
        <v>58775</v>
      </c>
      <c r="F20" s="50">
        <f t="shared" si="32"/>
        <v>59285</v>
      </c>
      <c r="G20" s="50">
        <f t="shared" si="32"/>
        <v>61205</v>
      </c>
      <c r="H20" s="50">
        <f t="shared" si="32"/>
        <v>63050</v>
      </c>
      <c r="I20" s="50">
        <f t="shared" si="32"/>
        <v>62755</v>
      </c>
      <c r="J20" s="50">
        <f t="shared" si="32"/>
        <v>63915</v>
      </c>
      <c r="K20" s="50">
        <f t="shared" si="32"/>
        <v>63360</v>
      </c>
      <c r="L20" s="50">
        <f t="shared" si="32"/>
        <v>62810</v>
      </c>
      <c r="M20" s="50">
        <f t="shared" si="32"/>
        <v>61960</v>
      </c>
      <c r="N20" s="50">
        <f t="shared" si="32"/>
        <v>61555</v>
      </c>
      <c r="O20" s="50">
        <f t="shared" si="32"/>
        <v>60545</v>
      </c>
      <c r="P20" s="50">
        <f t="shared" si="32"/>
        <v>61100</v>
      </c>
      <c r="Q20" s="50">
        <f t="shared" si="32"/>
        <v>60880</v>
      </c>
      <c r="R20" s="50">
        <f t="shared" ref="R20:S20" si="33">AVERAGE(R18:R19)</f>
        <v>60765</v>
      </c>
      <c r="S20" s="50">
        <f t="shared" si="33"/>
        <v>60730</v>
      </c>
      <c r="T20" s="50">
        <f t="shared" ref="T20" si="34">AVERAGE(T18:T19)</f>
        <v>60170</v>
      </c>
      <c r="U20" s="50">
        <f t="shared" ref="U20" si="35">AVERAGE(U18:U19)</f>
        <v>59530</v>
      </c>
      <c r="V20" s="50">
        <f t="shared" ref="V20" si="36">AVERAGE(V18:V19)</f>
        <v>58660</v>
      </c>
      <c r="W20" s="50">
        <f t="shared" ref="W20:Y20" si="37">AVERAGE(W18:W19)</f>
        <v>57745</v>
      </c>
      <c r="X20" s="50">
        <f t="shared" si="37"/>
        <v>56860</v>
      </c>
      <c r="Y20" s="50">
        <f t="shared" si="37"/>
        <v>56710</v>
      </c>
    </row>
    <row r="21" spans="1:33">
      <c r="A21" s="48" t="s">
        <v>17</v>
      </c>
      <c r="B21" s="51">
        <f>AVERAGE(B20:C20)</f>
        <v>57410</v>
      </c>
      <c r="C21" s="52"/>
      <c r="D21" s="51">
        <f t="shared" ref="D21" si="38">AVERAGE(D20:E20)</f>
        <v>58977.5</v>
      </c>
      <c r="E21" s="52"/>
      <c r="F21" s="51">
        <f t="shared" ref="F21" si="39">AVERAGE(F20:G20)</f>
        <v>60245</v>
      </c>
      <c r="G21" s="52"/>
      <c r="H21" s="51">
        <f t="shared" ref="H21" si="40">AVERAGE(H20:I20)</f>
        <v>62902.5</v>
      </c>
      <c r="I21" s="52"/>
      <c r="J21" s="51">
        <f t="shared" ref="J21" si="41">AVERAGE(J20:K20)</f>
        <v>63637.5</v>
      </c>
      <c r="K21" s="52"/>
      <c r="L21" s="51">
        <f t="shared" ref="L21" si="42">AVERAGE(L20:M20)</f>
        <v>62385</v>
      </c>
      <c r="M21" s="52"/>
      <c r="N21" s="51">
        <f t="shared" ref="N21" si="43">AVERAGE(N20:O20)</f>
        <v>61050</v>
      </c>
      <c r="O21" s="52"/>
      <c r="P21" s="51">
        <f t="shared" ref="P21" si="44">AVERAGE(P20:Q20)</f>
        <v>60990</v>
      </c>
      <c r="Q21" s="52"/>
      <c r="R21" s="51">
        <f t="shared" ref="R21" si="45">AVERAGE(R20:S20)</f>
        <v>60747.5</v>
      </c>
      <c r="S21" s="52"/>
      <c r="T21" s="51">
        <f t="shared" ref="T21" si="46">AVERAGE(T20:U20)</f>
        <v>59850</v>
      </c>
      <c r="U21" s="52"/>
      <c r="V21" s="51">
        <f t="shared" ref="V21" si="47">AVERAGE(V20:W20)</f>
        <v>58202.5</v>
      </c>
      <c r="W21" s="52"/>
      <c r="X21" s="51">
        <f>AVERAGE(X20:Y20)</f>
        <v>56785</v>
      </c>
      <c r="Y21" s="52"/>
    </row>
    <row r="22" spans="1:33">
      <c r="A22" s="62" t="s">
        <v>12</v>
      </c>
      <c r="B22" s="39" t="s">
        <v>29</v>
      </c>
      <c r="C22" s="40"/>
      <c r="D22" s="39" t="s">
        <v>30</v>
      </c>
      <c r="E22" s="40"/>
      <c r="F22" s="39" t="s">
        <v>31</v>
      </c>
      <c r="G22" s="40"/>
      <c r="H22" s="39" t="s">
        <v>32</v>
      </c>
      <c r="I22" s="40"/>
      <c r="J22" s="39" t="s">
        <v>33</v>
      </c>
      <c r="K22" s="40"/>
      <c r="L22" s="39" t="s">
        <v>34</v>
      </c>
      <c r="M22" s="40"/>
      <c r="N22" s="39" t="s">
        <v>35</v>
      </c>
      <c r="O22" s="40"/>
      <c r="P22" s="39" t="s">
        <v>36</v>
      </c>
      <c r="Q22" s="40"/>
      <c r="R22" s="63">
        <v>45901</v>
      </c>
      <c r="S22" s="40"/>
      <c r="T22" s="63">
        <v>45931</v>
      </c>
      <c r="U22" s="40"/>
      <c r="V22" s="63">
        <v>45962</v>
      </c>
      <c r="W22" s="40"/>
      <c r="X22" s="63">
        <v>45962</v>
      </c>
      <c r="Y22" s="40"/>
    </row>
    <row r="23" spans="1:33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</row>
    <row r="24" ht="37.5" spans="1:33">
      <c r="A24" s="48" t="s">
        <v>18</v>
      </c>
      <c r="B24" s="46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6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</row>
    <row r="25" spans="1:33">
      <c r="A25" s="48" t="s">
        <v>19</v>
      </c>
      <c r="B25" s="66">
        <f>AVERAGE(B6,B13,B20)</f>
        <v>58001.6666666667</v>
      </c>
      <c r="C25" s="66">
        <f t="shared" ref="C25:Q25" si="48">AVERAGE(C6,C13,C20)</f>
        <v>57990</v>
      </c>
      <c r="D25" s="66">
        <f t="shared" si="48"/>
        <v>58859.4444444444</v>
      </c>
      <c r="E25" s="66">
        <f t="shared" si="48"/>
        <v>58371.1111111111</v>
      </c>
      <c r="F25" s="66">
        <f t="shared" si="48"/>
        <v>59286.6666666667</v>
      </c>
      <c r="G25" s="66">
        <f t="shared" si="48"/>
        <v>60417.2222222222</v>
      </c>
      <c r="H25" s="66">
        <f t="shared" si="48"/>
        <v>62420</v>
      </c>
      <c r="I25" s="66">
        <f t="shared" si="48"/>
        <v>61548.8888888889</v>
      </c>
      <c r="J25" s="66">
        <f t="shared" si="48"/>
        <v>61662.7777777778</v>
      </c>
      <c r="K25" s="66">
        <f t="shared" si="48"/>
        <v>61224.4444444444</v>
      </c>
      <c r="L25" s="66">
        <f t="shared" si="48"/>
        <v>60041.1111111111</v>
      </c>
      <c r="M25" s="66">
        <f t="shared" si="48"/>
        <v>58812.2222222222</v>
      </c>
      <c r="N25" s="66">
        <f t="shared" si="48"/>
        <v>58222.2222222222</v>
      </c>
      <c r="O25" s="66">
        <f t="shared" si="48"/>
        <v>56910.5555555556</v>
      </c>
      <c r="P25" s="66">
        <f t="shared" si="48"/>
        <v>57526.6666666667</v>
      </c>
      <c r="Q25" s="66">
        <f t="shared" si="48"/>
        <v>57930.5555555556</v>
      </c>
      <c r="R25" s="66">
        <f t="shared" ref="R25:S25" si="49">AVERAGE(R6,R13,R20)</f>
        <v>57381.1111111111</v>
      </c>
      <c r="S25" s="66">
        <f t="shared" si="49"/>
        <v>57200.5555555556</v>
      </c>
      <c r="T25" s="66">
        <f t="shared" ref="T25:Y25" si="50">AVERAGE(T6,T13,T20)</f>
        <v>56638.3333333333</v>
      </c>
      <c r="U25" s="66">
        <f t="shared" si="50"/>
        <v>55643.3333333333</v>
      </c>
      <c r="V25" s="66">
        <f t="shared" si="50"/>
        <v>55162.7777777778</v>
      </c>
      <c r="W25" s="66">
        <f t="shared" si="50"/>
        <v>54825.5555555556</v>
      </c>
      <c r="X25" s="66">
        <f t="shared" si="50"/>
        <v>54540.5555555556</v>
      </c>
      <c r="Y25" s="66">
        <f t="shared" si="50"/>
        <v>54463.8888888889</v>
      </c>
    </row>
    <row r="26" spans="1:33">
      <c r="A26" s="48" t="s">
        <v>20</v>
      </c>
      <c r="B26" s="51">
        <f>AVERAGE(B25:C25)</f>
        <v>57995.8333333333</v>
      </c>
      <c r="C26" s="52"/>
      <c r="D26" s="51">
        <f t="shared" ref="D26" si="51">AVERAGE(D25:E25)</f>
        <v>58615.2777777778</v>
      </c>
      <c r="E26" s="52"/>
      <c r="F26" s="51">
        <f t="shared" ref="F26" si="52">AVERAGE(F25:G25)</f>
        <v>59851.9444444444</v>
      </c>
      <c r="G26" s="52"/>
      <c r="H26" s="51">
        <f t="shared" ref="H26" si="53">AVERAGE(H25:I25)</f>
        <v>61984.4444444444</v>
      </c>
      <c r="I26" s="52"/>
      <c r="J26" s="51">
        <f t="shared" ref="J26" si="54">AVERAGE(J25:K25)</f>
        <v>61443.6111111111</v>
      </c>
      <c r="K26" s="52"/>
      <c r="L26" s="51">
        <f t="shared" ref="L26" si="55">AVERAGE(L25:M25)</f>
        <v>59426.6666666667</v>
      </c>
      <c r="M26" s="52"/>
      <c r="N26" s="51">
        <f t="shared" ref="N26" si="56">AVERAGE(N25:O25)</f>
        <v>57566.3888888889</v>
      </c>
      <c r="O26" s="52"/>
      <c r="P26" s="51">
        <f t="shared" ref="P26" si="57">AVERAGE(P25:Q25)</f>
        <v>57728.6111111111</v>
      </c>
      <c r="Q26" s="52"/>
      <c r="R26" s="51">
        <f t="shared" ref="R26" si="58">AVERAGE(R25:S25)</f>
        <v>57290.8333333333</v>
      </c>
      <c r="S26" s="52"/>
      <c r="T26" s="51">
        <f t="shared" ref="T26" si="59">AVERAGE(T25:U25)</f>
        <v>56140.8333333333</v>
      </c>
      <c r="U26" s="52"/>
      <c r="V26" s="51">
        <f>AVERAGE(V25:W25)</f>
        <v>54994.1666666667</v>
      </c>
      <c r="W26" s="52"/>
      <c r="X26" s="51">
        <f>AVERAGE(X25:Y25)</f>
        <v>54502.2222222222</v>
      </c>
      <c r="Y26" s="52"/>
    </row>
    <row r="27" spans="1:33">
      <c r="A27" s="62" t="s">
        <v>12</v>
      </c>
      <c r="B27" s="39" t="s">
        <v>29</v>
      </c>
      <c r="C27" s="40"/>
      <c r="D27" s="39" t="s">
        <v>30</v>
      </c>
      <c r="E27" s="40"/>
      <c r="F27" s="39" t="s">
        <v>31</v>
      </c>
      <c r="G27" s="40"/>
      <c r="H27" s="39" t="s">
        <v>32</v>
      </c>
      <c r="I27" s="40"/>
      <c r="J27" s="39" t="s">
        <v>33</v>
      </c>
      <c r="K27" s="40"/>
      <c r="L27" s="39" t="s">
        <v>34</v>
      </c>
      <c r="M27" s="40"/>
      <c r="N27" s="39" t="s">
        <v>35</v>
      </c>
      <c r="O27" s="40"/>
      <c r="P27" s="39" t="s">
        <v>36</v>
      </c>
      <c r="Q27" s="40"/>
      <c r="R27" s="63">
        <v>45901</v>
      </c>
      <c r="S27" s="40"/>
      <c r="T27" s="63">
        <v>45931</v>
      </c>
      <c r="U27" s="40"/>
      <c r="V27" s="63">
        <v>45962</v>
      </c>
      <c r="W27" s="40"/>
      <c r="X27" s="63">
        <v>45992</v>
      </c>
      <c r="Y27" s="40"/>
    </row>
  </sheetData>
  <mergeCells count="101"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B3:Q3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B9:Q9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B17:Q17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B24:Q24"/>
    <mergeCell ref="R24:AG24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</mergeCells>
  <pageMargins left="0.7" right="0.7" top="0.75" bottom="0.75" header="0.3" footer="0.3"/>
  <pageSetup paperSize="1" scale="2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7"/>
  <sheetViews>
    <sheetView zoomScale="85" zoomScaleNormal="85" workbookViewId="0">
      <selection activeCell="B6" sqref="B6"/>
    </sheetView>
  </sheetViews>
  <sheetFormatPr defaultColWidth="17.1666666666667" defaultRowHeight="12.75"/>
  <cols>
    <col min="1" max="1" width="35.8333333333333" style="18" customWidth="1"/>
    <col min="2" max="5" width="17.1666666666667" style="18" customWidth="1"/>
    <col min="6" max="11" width="17.1666666666667" style="18"/>
    <col min="12" max="17" width="17.1666666666667" style="18" customWidth="1"/>
    <col min="18" max="23" width="17.1666666666667" style="18"/>
    <col min="24" max="25" width="17.1666666666667" style="18" customWidth="1"/>
    <col min="26" max="16384" width="17.1666666666667" style="18"/>
  </cols>
  <sheetData>
    <row r="1" ht="18.75" spans="1:25">
      <c r="A1" s="19"/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</row>
    <row r="2" ht="15" spans="1:25">
      <c r="A2" s="20"/>
      <c r="B2" s="21">
        <v>45292</v>
      </c>
      <c r="C2" s="22"/>
      <c r="D2" s="21">
        <v>45323</v>
      </c>
      <c r="E2" s="22"/>
      <c r="F2" s="21">
        <v>45352</v>
      </c>
      <c r="G2" s="22"/>
      <c r="H2" s="21">
        <v>45383</v>
      </c>
      <c r="I2" s="22"/>
      <c r="J2" s="21">
        <v>45413</v>
      </c>
      <c r="K2" s="22"/>
      <c r="L2" s="21">
        <v>45444</v>
      </c>
      <c r="M2" s="22"/>
      <c r="N2" s="21">
        <v>45474</v>
      </c>
      <c r="O2" s="22"/>
      <c r="P2" s="21">
        <v>45505</v>
      </c>
      <c r="Q2" s="22"/>
      <c r="R2" s="21">
        <v>45536</v>
      </c>
      <c r="S2" s="22"/>
      <c r="T2" s="21">
        <v>45566</v>
      </c>
      <c r="U2" s="22"/>
      <c r="V2" s="21">
        <v>45597</v>
      </c>
      <c r="W2" s="22"/>
      <c r="X2" s="21">
        <v>45627</v>
      </c>
      <c r="Y2" s="22"/>
    </row>
    <row r="3" ht="25.5" spans="1:25">
      <c r="A3" s="23" t="s">
        <v>61</v>
      </c>
    </row>
    <row r="4" ht="15" spans="1:25">
      <c r="A4" s="24" t="s">
        <v>2</v>
      </c>
      <c r="B4" s="25">
        <v>61690</v>
      </c>
      <c r="C4" s="25">
        <v>61000</v>
      </c>
      <c r="D4" s="25">
        <v>60640</v>
      </c>
      <c r="E4" s="25">
        <v>61080</v>
      </c>
      <c r="F4" s="25">
        <v>61930</v>
      </c>
      <c r="G4" s="25">
        <v>62410</v>
      </c>
      <c r="H4" s="25">
        <v>62730</v>
      </c>
      <c r="I4" s="25">
        <v>64820</v>
      </c>
      <c r="J4" s="25">
        <v>65910</v>
      </c>
      <c r="K4" s="25">
        <v>67610</v>
      </c>
      <c r="L4" s="25">
        <v>66470</v>
      </c>
      <c r="M4" s="25">
        <v>64990</v>
      </c>
      <c r="N4" s="25">
        <v>60950</v>
      </c>
      <c r="O4" s="25">
        <v>58440</v>
      </c>
      <c r="P4" s="25">
        <v>55420</v>
      </c>
      <c r="Q4" s="25">
        <v>56250</v>
      </c>
      <c r="R4" s="25">
        <v>56660</v>
      </c>
      <c r="S4" s="25">
        <v>55810</v>
      </c>
      <c r="T4" s="25">
        <v>58420</v>
      </c>
      <c r="U4" s="25">
        <v>59440</v>
      </c>
      <c r="V4" s="25">
        <v>58420</v>
      </c>
      <c r="W4" s="25">
        <v>58630</v>
      </c>
      <c r="X4" s="25">
        <v>57920</v>
      </c>
      <c r="Y4" s="25">
        <v>58320</v>
      </c>
    </row>
    <row r="5" ht="15" spans="1:25">
      <c r="A5" s="24" t="s">
        <v>3</v>
      </c>
      <c r="B5" s="25">
        <v>61340</v>
      </c>
      <c r="C5" s="25">
        <v>60610</v>
      </c>
      <c r="D5" s="25">
        <v>60610</v>
      </c>
      <c r="E5" s="25">
        <v>60730</v>
      </c>
      <c r="F5" s="25">
        <v>61600</v>
      </c>
      <c r="G5" s="25">
        <v>62070</v>
      </c>
      <c r="H5" s="25">
        <v>62490</v>
      </c>
      <c r="I5" s="25">
        <v>64740</v>
      </c>
      <c r="J5" s="25">
        <v>65470</v>
      </c>
      <c r="K5" s="25">
        <v>67120</v>
      </c>
      <c r="L5" s="25">
        <v>65940</v>
      </c>
      <c r="M5" s="25">
        <v>64540</v>
      </c>
      <c r="N5" s="25">
        <v>60340</v>
      </c>
      <c r="O5" s="25">
        <v>57840</v>
      </c>
      <c r="P5" s="25">
        <v>54810</v>
      </c>
      <c r="Q5" s="25">
        <v>55640</v>
      </c>
      <c r="R5" s="25">
        <v>56220</v>
      </c>
      <c r="S5" s="25">
        <v>55370</v>
      </c>
      <c r="T5" s="25">
        <v>57990</v>
      </c>
      <c r="U5" s="25">
        <v>59000</v>
      </c>
      <c r="V5" s="25">
        <v>57980</v>
      </c>
      <c r="W5" s="25">
        <v>58020</v>
      </c>
      <c r="X5" s="25">
        <v>57310</v>
      </c>
      <c r="Y5" s="25">
        <v>57700</v>
      </c>
    </row>
    <row r="6" ht="25.5" spans="1:25">
      <c r="A6" s="23" t="s">
        <v>62</v>
      </c>
      <c r="B6" s="26">
        <f>AVERAGE(B4:B5)</f>
        <v>61515</v>
      </c>
      <c r="C6" s="26">
        <f t="shared" ref="B6:E6" si="0">AVERAGE(C4:C5)</f>
        <v>60805</v>
      </c>
      <c r="D6" s="26">
        <f t="shared" si="0"/>
        <v>60625</v>
      </c>
      <c r="E6" s="26">
        <f t="shared" si="0"/>
        <v>60905</v>
      </c>
      <c r="F6" s="26">
        <f t="shared" ref="F6:K6" si="1">AVERAGE(F4:F5)</f>
        <v>61765</v>
      </c>
      <c r="G6" s="26">
        <f t="shared" si="1"/>
        <v>62240</v>
      </c>
      <c r="H6" s="26">
        <f t="shared" si="1"/>
        <v>62610</v>
      </c>
      <c r="I6" s="26">
        <f t="shared" si="1"/>
        <v>64780</v>
      </c>
      <c r="J6" s="26">
        <f t="shared" si="1"/>
        <v>65690</v>
      </c>
      <c r="K6" s="26">
        <f t="shared" si="1"/>
        <v>67365</v>
      </c>
      <c r="L6" s="26">
        <f t="shared" ref="L6" si="2">AVERAGE(L4:L5)</f>
        <v>66205</v>
      </c>
      <c r="M6" s="26">
        <f t="shared" ref="M6" si="3">AVERAGE(M4:M5)</f>
        <v>64765</v>
      </c>
      <c r="N6" s="26">
        <f t="shared" ref="N6" si="4">AVERAGE(N4:N5)</f>
        <v>60645</v>
      </c>
      <c r="O6" s="26">
        <f t="shared" ref="O6" si="5">AVERAGE(O4:O5)</f>
        <v>58140</v>
      </c>
      <c r="P6" s="26">
        <f t="shared" ref="P6" si="6">AVERAGE(P4:P5)</f>
        <v>55115</v>
      </c>
      <c r="Q6" s="26">
        <f t="shared" ref="Q6" si="7">AVERAGE(Q4:Q5)</f>
        <v>55945</v>
      </c>
      <c r="R6" s="26">
        <f t="shared" ref="R6" si="8">AVERAGE(R4:R5)</f>
        <v>56440</v>
      </c>
      <c r="S6" s="26">
        <f t="shared" ref="S6" si="9">AVERAGE(S4:S5)</f>
        <v>55590</v>
      </c>
      <c r="T6" s="26">
        <f t="shared" ref="T6" si="10">AVERAGE(T4:T5)</f>
        <v>58205</v>
      </c>
      <c r="U6" s="26">
        <f t="shared" ref="U6" si="11">AVERAGE(U4:U5)</f>
        <v>59220</v>
      </c>
      <c r="V6" s="26">
        <f t="shared" ref="V6" si="12">AVERAGE(V4:V5)</f>
        <v>58200</v>
      </c>
      <c r="W6" s="26">
        <f t="shared" ref="W6:X6" si="13">AVERAGE(W4:W5)</f>
        <v>58325</v>
      </c>
      <c r="X6" s="26">
        <f t="shared" si="13"/>
        <v>57615</v>
      </c>
      <c r="Y6" s="26">
        <f t="shared" ref="Y6" si="14">AVERAGE(Y4:Y5)</f>
        <v>58010</v>
      </c>
    </row>
    <row r="7" ht="14.25" customHeight="1" spans="1:25">
      <c r="A7" s="24" t="s">
        <v>5</v>
      </c>
      <c r="B7" s="27">
        <f>AVERAGE(B6:C6)</f>
        <v>61160</v>
      </c>
      <c r="C7" s="28"/>
      <c r="D7" s="27">
        <f t="shared" ref="D7" si="15">AVERAGE(D6:E6)</f>
        <v>60765</v>
      </c>
      <c r="E7" s="28"/>
      <c r="F7" s="27">
        <f t="shared" ref="F7" si="16">AVERAGE(F6:G6)</f>
        <v>62002.5</v>
      </c>
      <c r="G7" s="28"/>
      <c r="H7" s="27">
        <f t="shared" ref="H7" si="17">AVERAGE(H6:I6)</f>
        <v>63695</v>
      </c>
      <c r="I7" s="28"/>
      <c r="J7" s="27">
        <f t="shared" ref="J7" si="18">AVERAGE(J6:K6)</f>
        <v>66527.5</v>
      </c>
      <c r="K7" s="28"/>
      <c r="L7" s="27">
        <f t="shared" ref="L7" si="19">AVERAGE(L6:M6)</f>
        <v>65485</v>
      </c>
      <c r="M7" s="28"/>
      <c r="N7" s="27">
        <f t="shared" ref="N7" si="20">AVERAGE(N6:O6)</f>
        <v>59392.5</v>
      </c>
      <c r="O7" s="28"/>
      <c r="P7" s="27">
        <f t="shared" ref="P7" si="21">AVERAGE(P6:Q6)</f>
        <v>55530</v>
      </c>
      <c r="Q7" s="28"/>
      <c r="R7" s="27">
        <f>AVERAGE(R6:S6)</f>
        <v>56015</v>
      </c>
      <c r="S7" s="28"/>
      <c r="T7" s="27">
        <f t="shared" ref="T7" si="22">AVERAGE(T6:U6)</f>
        <v>58712.5</v>
      </c>
      <c r="U7" s="28"/>
      <c r="V7" s="27">
        <f t="shared" ref="V7" si="23">AVERAGE(V6:W6)</f>
        <v>58262.5</v>
      </c>
      <c r="W7" s="28"/>
      <c r="X7" s="27">
        <f t="shared" ref="X7" si="24">AVERAGE(X6:Y6)</f>
        <v>57812.5</v>
      </c>
      <c r="Y7" s="28"/>
    </row>
    <row r="8" spans="1:25">
      <c r="A8" s="29"/>
    </row>
    <row r="9" ht="25.5" spans="1:25">
      <c r="A9" s="24" t="s">
        <v>6</v>
      </c>
    </row>
    <row r="10" ht="15" spans="1:25">
      <c r="A10" s="24" t="s">
        <v>7</v>
      </c>
      <c r="B10" s="25">
        <v>62430</v>
      </c>
      <c r="C10" s="25">
        <v>61900</v>
      </c>
      <c r="D10" s="25">
        <v>61280</v>
      </c>
      <c r="E10" s="25">
        <v>60720</v>
      </c>
      <c r="F10" s="25">
        <v>60980</v>
      </c>
      <c r="G10" s="25">
        <v>61080</v>
      </c>
      <c r="H10" s="25">
        <v>61460</v>
      </c>
      <c r="I10" s="25">
        <v>63590</v>
      </c>
      <c r="J10" s="25">
        <v>64970</v>
      </c>
      <c r="K10" s="25">
        <v>65260</v>
      </c>
      <c r="L10" s="25">
        <v>65280</v>
      </c>
      <c r="M10" s="25">
        <v>63920</v>
      </c>
      <c r="N10" s="25">
        <v>61090</v>
      </c>
      <c r="O10" s="25">
        <v>59420</v>
      </c>
      <c r="P10" s="25">
        <v>59240</v>
      </c>
      <c r="Q10" s="25">
        <v>60400</v>
      </c>
      <c r="R10" s="25">
        <v>58380</v>
      </c>
      <c r="S10" s="25">
        <v>57460</v>
      </c>
      <c r="T10" s="25">
        <v>61390</v>
      </c>
      <c r="U10" s="25">
        <v>61590</v>
      </c>
      <c r="V10" s="25">
        <v>60180</v>
      </c>
      <c r="W10" s="25">
        <v>59740</v>
      </c>
      <c r="X10" s="25">
        <v>58420</v>
      </c>
      <c r="Y10" s="25">
        <v>58450</v>
      </c>
    </row>
    <row r="11" ht="15" spans="1:25">
      <c r="A11" s="24" t="s">
        <v>8</v>
      </c>
      <c r="B11" s="25">
        <v>63910</v>
      </c>
      <c r="C11" s="25">
        <v>63420</v>
      </c>
      <c r="D11" s="25">
        <v>61600</v>
      </c>
      <c r="E11" s="25">
        <v>61150</v>
      </c>
      <c r="F11" s="25">
        <v>61290</v>
      </c>
      <c r="G11" s="25">
        <v>61480</v>
      </c>
      <c r="H11" s="25">
        <v>62050</v>
      </c>
      <c r="I11" s="25">
        <v>64310</v>
      </c>
      <c r="J11" s="25">
        <v>65320</v>
      </c>
      <c r="K11" s="25">
        <v>66060</v>
      </c>
      <c r="L11" s="25">
        <v>66100</v>
      </c>
      <c r="M11" s="25">
        <v>65120</v>
      </c>
      <c r="N11" s="25">
        <v>61900</v>
      </c>
      <c r="O11" s="25">
        <v>60040</v>
      </c>
      <c r="P11" s="25">
        <v>59630</v>
      </c>
      <c r="Q11" s="25">
        <v>60620</v>
      </c>
      <c r="R11" s="25">
        <v>58660</v>
      </c>
      <c r="S11" s="25">
        <v>58380</v>
      </c>
      <c r="T11" s="25">
        <v>61810</v>
      </c>
      <c r="U11" s="25">
        <v>61880</v>
      </c>
      <c r="V11" s="25">
        <v>61270</v>
      </c>
      <c r="W11" s="25">
        <v>60710</v>
      </c>
      <c r="X11" s="25">
        <v>59190</v>
      </c>
      <c r="Y11" s="25">
        <v>59120</v>
      </c>
    </row>
    <row r="12" ht="15" spans="1:25">
      <c r="A12" s="24" t="s">
        <v>9</v>
      </c>
      <c r="B12" s="25">
        <v>65830</v>
      </c>
      <c r="C12" s="25">
        <v>65060</v>
      </c>
      <c r="D12" s="25">
        <v>64300</v>
      </c>
      <c r="E12" s="25">
        <v>63770</v>
      </c>
      <c r="F12" s="25">
        <v>63700</v>
      </c>
      <c r="G12" s="25">
        <v>63520</v>
      </c>
      <c r="H12" s="25">
        <v>62990</v>
      </c>
      <c r="I12" s="25">
        <v>65650</v>
      </c>
      <c r="J12" s="25">
        <v>65650</v>
      </c>
      <c r="K12" s="25">
        <v>65650</v>
      </c>
      <c r="L12" s="25">
        <v>64880</v>
      </c>
      <c r="M12" s="25">
        <v>64360</v>
      </c>
      <c r="N12" s="25">
        <v>63640</v>
      </c>
      <c r="O12" s="25">
        <v>63050</v>
      </c>
      <c r="P12" s="25">
        <v>61870</v>
      </c>
      <c r="Q12" s="25">
        <v>60690</v>
      </c>
      <c r="R12" s="25">
        <v>59510</v>
      </c>
      <c r="S12" s="25">
        <v>58330</v>
      </c>
      <c r="T12" s="25">
        <v>59510</v>
      </c>
      <c r="U12" s="25">
        <v>58920</v>
      </c>
      <c r="V12" s="25">
        <v>59510</v>
      </c>
      <c r="W12" s="25">
        <v>58330</v>
      </c>
      <c r="X12" s="25">
        <v>56560</v>
      </c>
      <c r="Y12" s="25">
        <v>56260</v>
      </c>
    </row>
    <row r="13" ht="51" spans="1:25">
      <c r="A13" s="24" t="s">
        <v>10</v>
      </c>
      <c r="B13" s="25">
        <f>AVERAGE(B10:B12)</f>
        <v>64056.6666666667</v>
      </c>
      <c r="C13" s="25">
        <f t="shared" ref="B13:G13" si="25">AVERAGE(C10:C12)</f>
        <v>63460</v>
      </c>
      <c r="D13" s="25">
        <f t="shared" si="25"/>
        <v>62393.3333333333</v>
      </c>
      <c r="E13" s="25">
        <f t="shared" si="25"/>
        <v>61880</v>
      </c>
      <c r="F13" s="25">
        <f t="shared" si="25"/>
        <v>61990</v>
      </c>
      <c r="G13" s="25">
        <f t="shared" si="25"/>
        <v>62026.6666666667</v>
      </c>
      <c r="H13" s="25">
        <f t="shared" ref="H13:K13" si="26">AVERAGE(H10:H12)</f>
        <v>62166.6666666667</v>
      </c>
      <c r="I13" s="25">
        <f t="shared" si="26"/>
        <v>64516.6666666667</v>
      </c>
      <c r="J13" s="25">
        <f t="shared" si="26"/>
        <v>65313.3333333333</v>
      </c>
      <c r="K13" s="25">
        <f t="shared" si="26"/>
        <v>65656.6666666667</v>
      </c>
      <c r="L13" s="25">
        <f t="shared" ref="L13" si="27">AVERAGE(L10:L12)</f>
        <v>65420</v>
      </c>
      <c r="M13" s="25">
        <f t="shared" ref="M13" si="28">AVERAGE(M10:M12)</f>
        <v>64466.6666666667</v>
      </c>
      <c r="N13" s="25">
        <f t="shared" ref="N13" si="29">AVERAGE(N10:N12)</f>
        <v>62210</v>
      </c>
      <c r="O13" s="25">
        <f t="shared" ref="O13" si="30">AVERAGE(O10:O12)</f>
        <v>60836.6666666667</v>
      </c>
      <c r="P13" s="25">
        <f t="shared" ref="P13" si="31">AVERAGE(P10:P12)</f>
        <v>60246.6666666667</v>
      </c>
      <c r="Q13" s="25">
        <f t="shared" ref="Q13" si="32">AVERAGE(Q10:Q12)</f>
        <v>60570</v>
      </c>
      <c r="R13" s="25">
        <f t="shared" ref="R13" si="33">AVERAGE(R10:R12)</f>
        <v>58850</v>
      </c>
      <c r="S13" s="25">
        <f t="shared" ref="S13" si="34">AVERAGE(S10:S12)</f>
        <v>58056.6666666667</v>
      </c>
      <c r="T13" s="25">
        <f t="shared" ref="T13" si="35">AVERAGE(T10:T12)</f>
        <v>60903.3333333333</v>
      </c>
      <c r="U13" s="25">
        <f t="shared" ref="U13" si="36">AVERAGE(U10:U12)</f>
        <v>60796.6666666667</v>
      </c>
      <c r="V13" s="25">
        <f t="shared" ref="V13" si="37">AVERAGE(V10:V12)</f>
        <v>60320</v>
      </c>
      <c r="W13" s="25">
        <f t="shared" ref="W13:X13" si="38">AVERAGE(W10:W12)</f>
        <v>59593.3333333333</v>
      </c>
      <c r="X13" s="25">
        <f t="shared" si="38"/>
        <v>58056.6666666667</v>
      </c>
      <c r="Y13" s="25">
        <f t="shared" ref="Y13" si="39">AVERAGE(Y10:Y12)</f>
        <v>57943.3333333333</v>
      </c>
    </row>
    <row r="14" ht="15" spans="1:25">
      <c r="A14" s="24" t="s">
        <v>11</v>
      </c>
      <c r="B14" s="27">
        <f t="shared" ref="B14" si="40">AVERAGE(B13:C13)</f>
        <v>63758.3333333333</v>
      </c>
      <c r="C14" s="28"/>
      <c r="D14" s="27">
        <f t="shared" ref="D14" si="41">AVERAGE(D13:E13)</f>
        <v>62136.6666666667</v>
      </c>
      <c r="E14" s="28"/>
      <c r="F14" s="27">
        <f>AVERAGE(F13:G13)</f>
        <v>62008.3333333333</v>
      </c>
      <c r="G14" s="28"/>
      <c r="H14" s="27">
        <f t="shared" ref="H14" si="42">AVERAGE(H13:I13)</f>
        <v>63341.6666666667</v>
      </c>
      <c r="I14" s="28"/>
      <c r="J14" s="27">
        <f t="shared" ref="J14" si="43">AVERAGE(J13:K13)</f>
        <v>65485</v>
      </c>
      <c r="K14" s="28"/>
      <c r="L14" s="27">
        <f t="shared" ref="L14" si="44">AVERAGE(L13:M13)</f>
        <v>64943.3333333333</v>
      </c>
      <c r="M14" s="28"/>
      <c r="N14" s="27">
        <f t="shared" ref="N14" si="45">AVERAGE(N13:O13)</f>
        <v>61523.3333333333</v>
      </c>
      <c r="O14" s="28"/>
      <c r="P14" s="27">
        <f t="shared" ref="P14" si="46">AVERAGE(P13:Q13)</f>
        <v>60408.3333333333</v>
      </c>
      <c r="Q14" s="28"/>
      <c r="R14" s="27">
        <f t="shared" ref="R14" si="47">AVERAGE(R13:S13)</f>
        <v>58453.3333333333</v>
      </c>
      <c r="S14" s="28"/>
      <c r="T14" s="27">
        <f t="shared" ref="T14" si="48">AVERAGE(T13:U13)</f>
        <v>60850</v>
      </c>
      <c r="U14" s="28"/>
      <c r="V14" s="27">
        <f t="shared" ref="V14" si="49">AVERAGE(V13:W13)</f>
        <v>59956.6666666667</v>
      </c>
      <c r="W14" s="28"/>
      <c r="X14" s="27">
        <f t="shared" ref="X14" si="50">AVERAGE(X13:Y13)</f>
        <v>58000</v>
      </c>
      <c r="Y14" s="28"/>
    </row>
    <row r="15" ht="15" spans="1:25">
      <c r="A15" s="30" t="s">
        <v>12</v>
      </c>
      <c r="B15" s="31">
        <v>45292</v>
      </c>
      <c r="C15" s="32"/>
      <c r="D15" s="31">
        <v>45323</v>
      </c>
      <c r="E15" s="32"/>
      <c r="F15" s="31">
        <v>45352</v>
      </c>
      <c r="G15" s="32"/>
      <c r="H15" s="31">
        <v>45383</v>
      </c>
      <c r="I15" s="32"/>
      <c r="J15" s="31">
        <v>45413</v>
      </c>
      <c r="K15" s="32"/>
      <c r="L15" s="31">
        <v>45444</v>
      </c>
      <c r="M15" s="32"/>
      <c r="N15" s="31">
        <v>45474</v>
      </c>
      <c r="O15" s="32"/>
      <c r="P15" s="31">
        <v>45505</v>
      </c>
      <c r="Q15" s="32"/>
      <c r="R15" s="31">
        <v>45536</v>
      </c>
      <c r="S15" s="32"/>
      <c r="T15" s="31">
        <v>45566</v>
      </c>
      <c r="U15" s="32"/>
      <c r="V15" s="31">
        <v>45597</v>
      </c>
      <c r="W15" s="32"/>
      <c r="X15" s="31">
        <v>45627</v>
      </c>
      <c r="Y15" s="32"/>
    </row>
    <row r="16" spans="1:25">
      <c r="A16" s="29"/>
    </row>
    <row r="17" spans="1:25">
      <c r="A17" s="24" t="s">
        <v>13</v>
      </c>
    </row>
    <row r="18" ht="15" spans="1:25">
      <c r="A18" s="24" t="s">
        <v>14</v>
      </c>
      <c r="B18" s="25">
        <v>65830</v>
      </c>
      <c r="C18" s="25">
        <v>65060</v>
      </c>
      <c r="D18" s="25">
        <v>64300</v>
      </c>
      <c r="E18" s="25">
        <v>63770</v>
      </c>
      <c r="F18" s="25">
        <v>63700</v>
      </c>
      <c r="G18" s="25">
        <v>63520</v>
      </c>
      <c r="H18" s="25">
        <v>62990</v>
      </c>
      <c r="I18" s="25">
        <v>65650</v>
      </c>
      <c r="J18" s="25">
        <v>65650</v>
      </c>
      <c r="K18" s="25">
        <v>65650</v>
      </c>
      <c r="L18" s="25">
        <v>64880</v>
      </c>
      <c r="M18" s="25">
        <v>64360</v>
      </c>
      <c r="N18" s="25">
        <v>63640</v>
      </c>
      <c r="O18" s="25">
        <v>63050</v>
      </c>
      <c r="P18" s="25">
        <v>61870</v>
      </c>
      <c r="Q18" s="25">
        <v>60690</v>
      </c>
      <c r="R18" s="25">
        <v>59510</v>
      </c>
      <c r="S18" s="25">
        <v>58330</v>
      </c>
      <c r="T18" s="25">
        <v>59510</v>
      </c>
      <c r="U18" s="25">
        <v>58920</v>
      </c>
      <c r="V18" s="25">
        <v>59510</v>
      </c>
      <c r="W18" s="25">
        <v>58330</v>
      </c>
      <c r="X18" s="25">
        <v>56560</v>
      </c>
      <c r="Y18" s="25">
        <v>56260</v>
      </c>
    </row>
    <row r="19" ht="15" spans="1:25">
      <c r="A19" s="24" t="s">
        <v>15</v>
      </c>
      <c r="B19" s="25">
        <v>69020</v>
      </c>
      <c r="C19" s="25">
        <v>68790</v>
      </c>
      <c r="D19" s="25">
        <v>68020</v>
      </c>
      <c r="E19" s="25">
        <v>66960</v>
      </c>
      <c r="F19" s="25">
        <v>67420</v>
      </c>
      <c r="G19" s="25">
        <v>66710</v>
      </c>
      <c r="H19" s="25">
        <v>65650</v>
      </c>
      <c r="I19" s="25">
        <v>66710</v>
      </c>
      <c r="J19" s="25">
        <v>66710</v>
      </c>
      <c r="K19" s="25">
        <v>67770</v>
      </c>
      <c r="L19" s="25">
        <v>67540</v>
      </c>
      <c r="M19" s="25">
        <v>66500</v>
      </c>
      <c r="N19" s="25">
        <v>66590</v>
      </c>
      <c r="O19" s="25">
        <v>65410</v>
      </c>
      <c r="P19" s="25">
        <v>64820</v>
      </c>
      <c r="Q19" s="25">
        <v>63050</v>
      </c>
      <c r="R19" s="25">
        <v>61870</v>
      </c>
      <c r="S19" s="25">
        <v>60690</v>
      </c>
      <c r="T19" s="25">
        <v>60690</v>
      </c>
      <c r="U19" s="25">
        <v>59510</v>
      </c>
      <c r="V19" s="25">
        <v>60100</v>
      </c>
      <c r="W19" s="25">
        <v>59510</v>
      </c>
      <c r="X19" s="25">
        <v>58330</v>
      </c>
      <c r="Y19" s="25">
        <v>58330</v>
      </c>
    </row>
    <row r="20" ht="38.25" spans="1:25">
      <c r="A20" s="23" t="s">
        <v>63</v>
      </c>
      <c r="B20" s="26">
        <f t="shared" ref="B20:G20" si="51">AVERAGE(B18:B19)</f>
        <v>67425</v>
      </c>
      <c r="C20" s="26">
        <f t="shared" si="51"/>
        <v>66925</v>
      </c>
      <c r="D20" s="26">
        <f t="shared" si="51"/>
        <v>66160</v>
      </c>
      <c r="E20" s="26">
        <f t="shared" si="51"/>
        <v>65365</v>
      </c>
      <c r="F20" s="26">
        <f t="shared" si="51"/>
        <v>65560</v>
      </c>
      <c r="G20" s="26">
        <f t="shared" si="51"/>
        <v>65115</v>
      </c>
      <c r="H20" s="26">
        <f t="shared" ref="H20:U20" si="52">AVERAGE(H18:H19)</f>
        <v>64320</v>
      </c>
      <c r="I20" s="26">
        <f t="shared" si="52"/>
        <v>66180</v>
      </c>
      <c r="J20" s="26">
        <f t="shared" si="52"/>
        <v>66180</v>
      </c>
      <c r="K20" s="26">
        <f t="shared" si="52"/>
        <v>66710</v>
      </c>
      <c r="L20" s="26">
        <f t="shared" si="52"/>
        <v>66210</v>
      </c>
      <c r="M20" s="26">
        <f t="shared" si="52"/>
        <v>65430</v>
      </c>
      <c r="N20" s="26">
        <f t="shared" si="52"/>
        <v>65115</v>
      </c>
      <c r="O20" s="26">
        <f t="shared" si="52"/>
        <v>64230</v>
      </c>
      <c r="P20" s="26">
        <f t="shared" si="52"/>
        <v>63345</v>
      </c>
      <c r="Q20" s="26">
        <f t="shared" si="52"/>
        <v>61870</v>
      </c>
      <c r="R20" s="26">
        <f t="shared" si="52"/>
        <v>60690</v>
      </c>
      <c r="S20" s="26">
        <f t="shared" si="52"/>
        <v>59510</v>
      </c>
      <c r="T20" s="26">
        <f t="shared" si="52"/>
        <v>60100</v>
      </c>
      <c r="U20" s="26">
        <f t="shared" si="52"/>
        <v>59215</v>
      </c>
      <c r="V20" s="26">
        <f t="shared" ref="V20:Y20" si="53">AVERAGE(V18:V19)</f>
        <v>59805</v>
      </c>
      <c r="W20" s="26">
        <f t="shared" si="53"/>
        <v>58920</v>
      </c>
      <c r="X20" s="26">
        <f t="shared" si="53"/>
        <v>57445</v>
      </c>
      <c r="Y20" s="26">
        <f t="shared" si="53"/>
        <v>57295</v>
      </c>
    </row>
    <row r="21" ht="15" spans="1:25">
      <c r="A21" s="24" t="s">
        <v>17</v>
      </c>
      <c r="B21" s="27">
        <f t="shared" ref="B21" si="54">AVERAGE(B20:C20)</f>
        <v>67175</v>
      </c>
      <c r="C21" s="28"/>
      <c r="D21" s="27">
        <f t="shared" ref="D21" si="55">AVERAGE(D20:E20)</f>
        <v>65762.5</v>
      </c>
      <c r="E21" s="28"/>
      <c r="F21" s="27">
        <f>AVERAGE(F20:G20)</f>
        <v>65337.5</v>
      </c>
      <c r="G21" s="28"/>
      <c r="H21" s="27">
        <f t="shared" ref="H21" si="56">AVERAGE(H20:I20)</f>
        <v>65250</v>
      </c>
      <c r="I21" s="28"/>
      <c r="J21" s="27">
        <f t="shared" ref="J21" si="57">AVERAGE(J20:K20)</f>
        <v>66445</v>
      </c>
      <c r="K21" s="28"/>
      <c r="L21" s="27">
        <f t="shared" ref="L21" si="58">AVERAGE(L20:M20)</f>
        <v>65820</v>
      </c>
      <c r="M21" s="28"/>
      <c r="N21" s="27">
        <f t="shared" ref="N21" si="59">AVERAGE(N20:O20)</f>
        <v>64672.5</v>
      </c>
      <c r="O21" s="28"/>
      <c r="P21" s="27">
        <f t="shared" ref="P21" si="60">AVERAGE(P20:Q20)</f>
        <v>62607.5</v>
      </c>
      <c r="Q21" s="28"/>
      <c r="R21" s="27">
        <f t="shared" ref="R21" si="61">AVERAGE(R20:S20)</f>
        <v>60100</v>
      </c>
      <c r="S21" s="28"/>
      <c r="T21" s="27">
        <f t="shared" ref="T21" si="62">AVERAGE(T20:U20)</f>
        <v>59657.5</v>
      </c>
      <c r="U21" s="28"/>
      <c r="V21" s="27">
        <f t="shared" ref="V21" si="63">AVERAGE(V20:W20)</f>
        <v>59362.5</v>
      </c>
      <c r="W21" s="28"/>
      <c r="X21" s="27">
        <f t="shared" ref="X21" si="64">AVERAGE(X20:Y20)</f>
        <v>57370</v>
      </c>
      <c r="Y21" s="28"/>
    </row>
    <row r="22" ht="15" spans="1:25">
      <c r="A22" s="30" t="s">
        <v>12</v>
      </c>
      <c r="B22" s="31">
        <v>45292</v>
      </c>
      <c r="C22" s="32"/>
      <c r="D22" s="31">
        <v>45323</v>
      </c>
      <c r="E22" s="32"/>
      <c r="F22" s="31">
        <v>45352</v>
      </c>
      <c r="G22" s="32"/>
      <c r="H22" s="31">
        <v>45383</v>
      </c>
      <c r="I22" s="32"/>
      <c r="J22" s="31">
        <v>45413</v>
      </c>
      <c r="K22" s="32"/>
      <c r="L22" s="31">
        <v>45444</v>
      </c>
      <c r="M22" s="32"/>
      <c r="N22" s="31">
        <v>45474</v>
      </c>
      <c r="O22" s="32"/>
      <c r="P22" s="31">
        <v>45505</v>
      </c>
      <c r="Q22" s="32"/>
      <c r="R22" s="31">
        <v>45536</v>
      </c>
      <c r="S22" s="32"/>
      <c r="T22" s="31">
        <v>45566</v>
      </c>
      <c r="U22" s="32"/>
      <c r="V22" s="31">
        <v>45597</v>
      </c>
      <c r="W22" s="32"/>
      <c r="X22" s="31">
        <v>45627</v>
      </c>
      <c r="Y22" s="32"/>
    </row>
    <row r="23" spans="1:25">
      <c r="A23" s="29"/>
    </row>
    <row r="24" ht="25.5" spans="1:25">
      <c r="A24" s="24" t="s">
        <v>18</v>
      </c>
    </row>
    <row r="25" ht="15" spans="1:25">
      <c r="A25" s="24" t="s">
        <v>19</v>
      </c>
      <c r="B25" s="33">
        <f>AVERAGE(B6,B13,B20)</f>
        <v>64332.2222222222</v>
      </c>
      <c r="C25" s="33">
        <f t="shared" ref="B25:F25" si="65">AVERAGE(C6,C13,C20)</f>
        <v>63730</v>
      </c>
      <c r="D25" s="33">
        <f t="shared" si="65"/>
        <v>63059.4444444444</v>
      </c>
      <c r="E25" s="33">
        <f t="shared" si="65"/>
        <v>62716.6666666667</v>
      </c>
      <c r="F25" s="33">
        <f t="shared" si="65"/>
        <v>63105</v>
      </c>
      <c r="G25" s="33">
        <f t="shared" ref="G25:W25" si="66">AVERAGE(G6,G13,G20)</f>
        <v>63127.2222222222</v>
      </c>
      <c r="H25" s="33">
        <f t="shared" si="66"/>
        <v>63032.2222222222</v>
      </c>
      <c r="I25" s="33">
        <f t="shared" si="66"/>
        <v>65158.8888888889</v>
      </c>
      <c r="J25" s="33">
        <f t="shared" si="66"/>
        <v>65727.7777777778</v>
      </c>
      <c r="K25" s="33">
        <f t="shared" si="66"/>
        <v>66577.2222222222</v>
      </c>
      <c r="L25" s="33">
        <f t="shared" si="66"/>
        <v>65945</v>
      </c>
      <c r="M25" s="33">
        <f t="shared" si="66"/>
        <v>64887.2222222222</v>
      </c>
      <c r="N25" s="33">
        <f t="shared" si="66"/>
        <v>62656.6666666667</v>
      </c>
      <c r="O25" s="33">
        <f t="shared" si="66"/>
        <v>61068.8888888889</v>
      </c>
      <c r="P25" s="33">
        <f t="shared" si="66"/>
        <v>59568.8888888889</v>
      </c>
      <c r="Q25" s="33">
        <f t="shared" si="66"/>
        <v>59461.6666666667</v>
      </c>
      <c r="R25" s="33">
        <f t="shared" si="66"/>
        <v>58660</v>
      </c>
      <c r="S25" s="33">
        <f t="shared" si="66"/>
        <v>57718.8888888889</v>
      </c>
      <c r="T25" s="33">
        <f t="shared" si="66"/>
        <v>59736.1111111111</v>
      </c>
      <c r="U25" s="33">
        <f t="shared" si="66"/>
        <v>59743.8888888889</v>
      </c>
      <c r="V25" s="33">
        <f t="shared" si="66"/>
        <v>59441.6666666667</v>
      </c>
      <c r="W25" s="33">
        <f t="shared" si="66"/>
        <v>58946.1111111111</v>
      </c>
      <c r="X25" s="33">
        <f t="shared" ref="X25:Y25" si="67">AVERAGE(X6,X13,X20)</f>
        <v>57705.5555555556</v>
      </c>
      <c r="Y25" s="33">
        <f t="shared" si="67"/>
        <v>57749.4444444444</v>
      </c>
    </row>
    <row r="26" ht="15" spans="1:25">
      <c r="A26" s="24" t="s">
        <v>20</v>
      </c>
      <c r="B26" s="27">
        <f t="shared" ref="B26" si="68">AVERAGE(B25:C25)</f>
        <v>64031.1111111111</v>
      </c>
      <c r="C26" s="28"/>
      <c r="D26" s="27">
        <f t="shared" ref="D26" si="69">AVERAGE(D25:E25)</f>
        <v>62888.0555555555</v>
      </c>
      <c r="E26" s="28"/>
      <c r="F26" s="27">
        <f t="shared" ref="F26" si="70">AVERAGE(F25:G25)</f>
        <v>63116.1111111111</v>
      </c>
      <c r="G26" s="28"/>
      <c r="H26" s="27">
        <f t="shared" ref="H26" si="71">AVERAGE(H25:I25)</f>
        <v>64095.5555555555</v>
      </c>
      <c r="I26" s="28"/>
      <c r="J26" s="27">
        <f t="shared" ref="J26" si="72">AVERAGE(J25:K25)</f>
        <v>66152.5</v>
      </c>
      <c r="K26" s="28"/>
      <c r="L26" s="27">
        <f t="shared" ref="L26" si="73">AVERAGE(L25:M25)</f>
        <v>65416.1111111111</v>
      </c>
      <c r="M26" s="28"/>
      <c r="N26" s="27">
        <f t="shared" ref="N26" si="74">AVERAGE(N25:O25)</f>
        <v>61862.7777777778</v>
      </c>
      <c r="O26" s="28"/>
      <c r="P26" s="27">
        <f t="shared" ref="P26" si="75">AVERAGE(P25:Q25)</f>
        <v>59515.2777777778</v>
      </c>
      <c r="Q26" s="28"/>
      <c r="R26" s="27">
        <f t="shared" ref="R26" si="76">AVERAGE(R25:S25)</f>
        <v>58189.4444444444</v>
      </c>
      <c r="S26" s="28"/>
      <c r="T26" s="27">
        <f t="shared" ref="T26" si="77">AVERAGE(T25:U25)</f>
        <v>59740</v>
      </c>
      <c r="U26" s="28"/>
      <c r="V26" s="27">
        <f t="shared" ref="V26" si="78">AVERAGE(V25:W25)</f>
        <v>59193.8888888889</v>
      </c>
      <c r="W26" s="28"/>
      <c r="X26" s="27">
        <f t="shared" ref="X26" si="79">AVERAGE(X25:Y25)</f>
        <v>57727.5</v>
      </c>
      <c r="Y26" s="28"/>
    </row>
    <row r="27" ht="15" spans="1:25">
      <c r="A27" s="30" t="s">
        <v>12</v>
      </c>
      <c r="B27" s="31">
        <v>45292</v>
      </c>
      <c r="C27" s="32"/>
      <c r="D27" s="31">
        <v>45323</v>
      </c>
      <c r="E27" s="32"/>
      <c r="F27" s="31">
        <v>45352</v>
      </c>
      <c r="G27" s="32"/>
      <c r="H27" s="31">
        <v>45383</v>
      </c>
      <c r="I27" s="32"/>
      <c r="J27" s="31">
        <v>45413</v>
      </c>
      <c r="K27" s="32"/>
      <c r="L27" s="31">
        <v>45444</v>
      </c>
      <c r="M27" s="32"/>
      <c r="N27" s="31">
        <v>45474</v>
      </c>
      <c r="O27" s="32"/>
      <c r="P27" s="31">
        <v>45505</v>
      </c>
      <c r="Q27" s="32"/>
      <c r="R27" s="31">
        <v>45536</v>
      </c>
      <c r="S27" s="32"/>
      <c r="T27" s="31">
        <v>45566</v>
      </c>
      <c r="U27" s="32"/>
      <c r="V27" s="31">
        <v>45597</v>
      </c>
      <c r="W27" s="32"/>
      <c r="X27" s="31">
        <v>45627</v>
      </c>
      <c r="Y27" s="32"/>
    </row>
  </sheetData>
  <mergeCells count="96"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</mergeCells>
  <pageMargins left="0.7" right="0.7" top="0.75" bottom="0.75" header="0.3" footer="0.3"/>
  <pageSetup paperSize="1" scale="22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"/>
  <sheetViews>
    <sheetView zoomScale="115" zoomScaleNormal="115" workbookViewId="0">
      <selection activeCell="V26" sqref="V26:W26"/>
    </sheetView>
  </sheetViews>
  <sheetFormatPr defaultColWidth="8.83333333333333" defaultRowHeight="12"/>
  <cols>
    <col min="1" max="1" width="35.1333333333333" style="1" customWidth="1"/>
    <col min="2" max="23" width="11.7111111111111" style="1" customWidth="1"/>
    <col min="24" max="16384" width="8.83333333333333" style="1"/>
  </cols>
  <sheetData>
    <row r="1" ht="18.75" spans="1:23"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72</v>
      </c>
      <c r="K1" s="2" t="s">
        <v>73</v>
      </c>
      <c r="L1" s="2" t="s">
        <v>74</v>
      </c>
      <c r="M1" s="2" t="s">
        <v>75</v>
      </c>
      <c r="N1" s="2" t="s">
        <v>76</v>
      </c>
      <c r="O1" s="2" t="s">
        <v>77</v>
      </c>
      <c r="P1" s="2" t="s">
        <v>78</v>
      </c>
      <c r="Q1" s="2" t="s">
        <v>79</v>
      </c>
      <c r="R1" s="2" t="s">
        <v>80</v>
      </c>
      <c r="S1" s="2" t="s">
        <v>81</v>
      </c>
      <c r="T1" s="2" t="s">
        <v>82</v>
      </c>
      <c r="U1" s="2" t="s">
        <v>83</v>
      </c>
      <c r="V1" s="2" t="s">
        <v>84</v>
      </c>
      <c r="W1" s="2" t="s">
        <v>83</v>
      </c>
    </row>
    <row r="2" spans="1:23">
      <c r="A2" s="3"/>
      <c r="B2" s="4">
        <v>44958</v>
      </c>
      <c r="C2" s="5"/>
      <c r="D2" s="4">
        <v>44986</v>
      </c>
      <c r="E2" s="5"/>
      <c r="F2" s="4">
        <v>45017</v>
      </c>
      <c r="G2" s="5"/>
      <c r="H2" s="4">
        <v>45047</v>
      </c>
      <c r="I2" s="5"/>
      <c r="J2" s="4">
        <v>45078</v>
      </c>
      <c r="K2" s="5"/>
      <c r="L2" s="4">
        <v>45108</v>
      </c>
      <c r="M2" s="5"/>
      <c r="N2" s="4">
        <v>45139</v>
      </c>
      <c r="O2" s="5"/>
      <c r="P2" s="4">
        <v>45170</v>
      </c>
      <c r="Q2" s="5"/>
      <c r="R2" s="4">
        <v>45200</v>
      </c>
      <c r="S2" s="5"/>
      <c r="T2" s="4">
        <v>45231</v>
      </c>
      <c r="U2" s="5"/>
      <c r="V2" s="4">
        <v>45261</v>
      </c>
      <c r="W2" s="5"/>
    </row>
    <row r="3" ht="24" spans="1:23">
      <c r="A3" s="6" t="s">
        <v>85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>
      <c r="A4" s="7" t="s">
        <v>2</v>
      </c>
      <c r="B4" s="7">
        <v>73100</v>
      </c>
      <c r="C4" s="7">
        <v>71540</v>
      </c>
      <c r="D4" s="7">
        <v>71750</v>
      </c>
      <c r="E4" s="7">
        <v>70360</v>
      </c>
      <c r="F4" s="7">
        <v>69590</v>
      </c>
      <c r="G4" s="7">
        <v>69010</v>
      </c>
      <c r="H4" s="8">
        <v>67290</v>
      </c>
      <c r="I4" s="8">
        <v>66400</v>
      </c>
      <c r="J4" s="8">
        <v>64940</v>
      </c>
      <c r="K4" s="8">
        <v>63610</v>
      </c>
      <c r="L4" s="8">
        <v>61830</v>
      </c>
      <c r="M4" s="8">
        <v>59980</v>
      </c>
      <c r="N4" s="8">
        <v>60590</v>
      </c>
      <c r="O4" s="8">
        <v>61960</v>
      </c>
      <c r="P4" s="8">
        <v>64690</v>
      </c>
      <c r="Q4" s="8">
        <v>66230</v>
      </c>
      <c r="R4" s="8">
        <v>66390</v>
      </c>
      <c r="S4" s="8">
        <v>65440</v>
      </c>
      <c r="T4" s="8">
        <v>64420</v>
      </c>
      <c r="U4" s="8">
        <v>63870</v>
      </c>
      <c r="V4" s="8">
        <v>62990</v>
      </c>
      <c r="W4" s="8">
        <v>62190</v>
      </c>
    </row>
    <row r="5" spans="1:23">
      <c r="A5" s="7" t="s">
        <v>3</v>
      </c>
      <c r="B5" s="7">
        <v>72720</v>
      </c>
      <c r="C5" s="7">
        <v>71290</v>
      </c>
      <c r="D5" s="7">
        <v>70100</v>
      </c>
      <c r="E5" s="7">
        <v>69740</v>
      </c>
      <c r="F5" s="7">
        <v>69290</v>
      </c>
      <c r="G5" s="7">
        <v>68580</v>
      </c>
      <c r="H5" s="8">
        <v>66790</v>
      </c>
      <c r="I5" s="8">
        <v>65970</v>
      </c>
      <c r="J5" s="8">
        <v>64400</v>
      </c>
      <c r="K5" s="8">
        <v>63280</v>
      </c>
      <c r="L5" s="8">
        <v>61560</v>
      </c>
      <c r="M5" s="8">
        <v>59890</v>
      </c>
      <c r="N5" s="8">
        <v>60240</v>
      </c>
      <c r="O5" s="8">
        <v>61650</v>
      </c>
      <c r="P5" s="8">
        <v>64510</v>
      </c>
      <c r="Q5" s="8">
        <v>65780</v>
      </c>
      <c r="R5" s="8">
        <v>65960</v>
      </c>
      <c r="S5" s="8">
        <v>65170</v>
      </c>
      <c r="T5" s="8">
        <v>6220</v>
      </c>
      <c r="U5" s="8">
        <v>63580</v>
      </c>
      <c r="V5" s="8">
        <v>63440</v>
      </c>
      <c r="W5" s="8">
        <v>61890</v>
      </c>
    </row>
    <row r="6" ht="24" spans="1:23">
      <c r="A6" s="6" t="s">
        <v>86</v>
      </c>
      <c r="B6" s="7">
        <f>AVERAGE(B4:B5)</f>
        <v>72910</v>
      </c>
      <c r="C6" s="7">
        <f t="shared" ref="C6:W6" si="0">AVERAGE(C4:C5)</f>
        <v>71415</v>
      </c>
      <c r="D6" s="7">
        <f t="shared" si="0"/>
        <v>70925</v>
      </c>
      <c r="E6" s="7">
        <f t="shared" si="0"/>
        <v>70050</v>
      </c>
      <c r="F6" s="7">
        <f t="shared" si="0"/>
        <v>69440</v>
      </c>
      <c r="G6" s="7">
        <f t="shared" si="0"/>
        <v>68795</v>
      </c>
      <c r="H6" s="7">
        <f t="shared" si="0"/>
        <v>67040</v>
      </c>
      <c r="I6" s="7">
        <f t="shared" si="0"/>
        <v>66185</v>
      </c>
      <c r="J6" s="7">
        <f t="shared" si="0"/>
        <v>64670</v>
      </c>
      <c r="K6" s="7">
        <f t="shared" si="0"/>
        <v>63445</v>
      </c>
      <c r="L6" s="7">
        <f t="shared" si="0"/>
        <v>61695</v>
      </c>
      <c r="M6" s="7">
        <f t="shared" si="0"/>
        <v>59935</v>
      </c>
      <c r="N6" s="7">
        <f t="shared" si="0"/>
        <v>60415</v>
      </c>
      <c r="O6" s="7">
        <f t="shared" si="0"/>
        <v>61805</v>
      </c>
      <c r="P6" s="7">
        <f t="shared" si="0"/>
        <v>64600</v>
      </c>
      <c r="Q6" s="7">
        <f t="shared" si="0"/>
        <v>66005</v>
      </c>
      <c r="R6" s="7">
        <f t="shared" si="0"/>
        <v>66175</v>
      </c>
      <c r="S6" s="7">
        <f t="shared" si="0"/>
        <v>65305</v>
      </c>
      <c r="T6" s="7">
        <f t="shared" si="0"/>
        <v>35320</v>
      </c>
      <c r="U6" s="7">
        <f t="shared" si="0"/>
        <v>63725</v>
      </c>
      <c r="V6" s="7">
        <f t="shared" si="0"/>
        <v>63215</v>
      </c>
      <c r="W6" s="7">
        <f t="shared" si="0"/>
        <v>62040</v>
      </c>
    </row>
    <row r="7" spans="1:23">
      <c r="A7" s="7" t="s">
        <v>5</v>
      </c>
      <c r="B7" s="9">
        <f>AVERAGE(B6:C6)</f>
        <v>72162.5</v>
      </c>
      <c r="C7" s="10"/>
      <c r="D7" s="9">
        <f>AVERAGE(D6:E6)</f>
        <v>70487.5</v>
      </c>
      <c r="E7" s="10"/>
      <c r="F7" s="9">
        <f>AVERAGE(F6:G6)</f>
        <v>69117.5</v>
      </c>
      <c r="G7" s="10"/>
      <c r="H7" s="11">
        <f t="shared" ref="H7" si="1">AVERAGE(H6:I6)</f>
        <v>66612.5</v>
      </c>
      <c r="I7" s="11"/>
      <c r="J7" s="11">
        <f t="shared" ref="J7:N7" si="2">AVERAGE(J6:K6)</f>
        <v>64057.5</v>
      </c>
      <c r="K7" s="11"/>
      <c r="L7" s="11">
        <f t="shared" si="2"/>
        <v>60815</v>
      </c>
      <c r="M7" s="11"/>
      <c r="N7" s="11">
        <f t="shared" si="2"/>
        <v>61110</v>
      </c>
      <c r="O7" s="11"/>
      <c r="P7" s="11">
        <f t="shared" ref="P7:T7" si="3">AVERAGE(P6:Q6)</f>
        <v>65302.5</v>
      </c>
      <c r="Q7" s="11"/>
      <c r="R7" s="11">
        <f t="shared" si="3"/>
        <v>65740</v>
      </c>
      <c r="S7" s="11"/>
      <c r="T7" s="11">
        <f t="shared" si="3"/>
        <v>49522.5</v>
      </c>
      <c r="U7" s="11"/>
      <c r="V7" s="11">
        <f>AVERAGE(V6:W6)</f>
        <v>62627.5</v>
      </c>
      <c r="W7" s="11"/>
    </row>
    <row r="8" spans="1:23">
      <c r="A8" s="3"/>
      <c r="B8" s="3"/>
      <c r="C8" s="3"/>
      <c r="D8" s="3"/>
      <c r="E8" s="3"/>
      <c r="F8" s="3"/>
      <c r="G8" s="3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24" spans="1:23">
      <c r="A9" s="7" t="s">
        <v>6</v>
      </c>
      <c r="B9" s="7"/>
      <c r="C9" s="7"/>
      <c r="D9" s="7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23">
      <c r="A10" s="7" t="s">
        <v>7</v>
      </c>
      <c r="B10" s="7">
        <v>69980</v>
      </c>
      <c r="C10" s="7">
        <v>69950</v>
      </c>
      <c r="D10" s="7">
        <v>69380</v>
      </c>
      <c r="E10" s="7">
        <v>68870</v>
      </c>
      <c r="F10" s="7">
        <v>68170</v>
      </c>
      <c r="G10" s="7">
        <v>68220</v>
      </c>
      <c r="H10" s="8">
        <v>66940</v>
      </c>
      <c r="I10" s="8">
        <v>66540</v>
      </c>
      <c r="J10" s="8">
        <v>65150</v>
      </c>
      <c r="K10" s="8">
        <v>65110</v>
      </c>
      <c r="L10" s="8">
        <v>64080</v>
      </c>
      <c r="M10" s="8">
        <v>63240</v>
      </c>
      <c r="N10" s="8">
        <v>62680</v>
      </c>
      <c r="O10" s="8">
        <v>63060</v>
      </c>
      <c r="P10" s="8">
        <v>64120</v>
      </c>
      <c r="Q10" s="8">
        <v>64410</v>
      </c>
      <c r="R10" s="8">
        <v>64790</v>
      </c>
      <c r="S10" s="8">
        <v>64190</v>
      </c>
      <c r="T10" s="8">
        <v>63470</v>
      </c>
      <c r="U10" s="8">
        <v>62890</v>
      </c>
      <c r="V10" s="8">
        <v>62420</v>
      </c>
      <c r="W10" s="8">
        <v>62710</v>
      </c>
    </row>
    <row r="11" spans="1:23">
      <c r="A11" s="7" t="s">
        <v>8</v>
      </c>
      <c r="B11" s="7">
        <v>71770</v>
      </c>
      <c r="C11" s="7">
        <v>70950</v>
      </c>
      <c r="D11" s="7">
        <v>70190</v>
      </c>
      <c r="E11" s="7">
        <v>69220</v>
      </c>
      <c r="F11" s="7">
        <v>68780</v>
      </c>
      <c r="G11" s="7">
        <v>68850</v>
      </c>
      <c r="H11" s="8">
        <v>67430</v>
      </c>
      <c r="I11" s="8">
        <v>67640</v>
      </c>
      <c r="J11" s="8">
        <v>65660</v>
      </c>
      <c r="K11" s="8">
        <v>65580</v>
      </c>
      <c r="L11" s="8">
        <v>64490</v>
      </c>
      <c r="M11" s="8">
        <v>64830</v>
      </c>
      <c r="N11" s="8">
        <v>63890</v>
      </c>
      <c r="O11" s="8">
        <v>64200</v>
      </c>
      <c r="P11" s="8">
        <v>65510</v>
      </c>
      <c r="Q11" s="8">
        <v>65790</v>
      </c>
      <c r="R11" s="8">
        <v>65200</v>
      </c>
      <c r="S11" s="8">
        <v>64640</v>
      </c>
      <c r="T11" s="8">
        <v>63440</v>
      </c>
      <c r="U11" s="8">
        <v>63150</v>
      </c>
      <c r="V11" s="8">
        <v>62740</v>
      </c>
      <c r="W11" s="8">
        <v>63030</v>
      </c>
    </row>
    <row r="12" spans="1:23">
      <c r="A12" s="7" t="s">
        <v>9</v>
      </c>
      <c r="B12" s="7">
        <v>73970</v>
      </c>
      <c r="C12" s="7">
        <v>71840</v>
      </c>
      <c r="D12" s="7">
        <v>73020</v>
      </c>
      <c r="E12" s="7">
        <v>71960</v>
      </c>
      <c r="F12" s="7">
        <v>72310</v>
      </c>
      <c r="G12" s="7">
        <v>73020</v>
      </c>
      <c r="H12" s="8">
        <v>72200</v>
      </c>
      <c r="I12" s="8">
        <v>70540</v>
      </c>
      <c r="J12" s="8">
        <v>68940</v>
      </c>
      <c r="K12" s="8">
        <v>66940</v>
      </c>
      <c r="L12" s="8">
        <v>66300</v>
      </c>
      <c r="M12" s="8">
        <v>67360</v>
      </c>
      <c r="N12" s="8">
        <v>67010</v>
      </c>
      <c r="O12" s="8">
        <v>67120</v>
      </c>
      <c r="P12" s="8">
        <v>67660</v>
      </c>
      <c r="Q12" s="8">
        <v>68300</v>
      </c>
      <c r="R12" s="8">
        <v>70020</v>
      </c>
      <c r="S12" s="8">
        <v>69780</v>
      </c>
      <c r="T12" s="8">
        <v>67580</v>
      </c>
      <c r="U12" s="8">
        <v>66590</v>
      </c>
      <c r="V12" s="8">
        <v>66890</v>
      </c>
      <c r="W12" s="8">
        <v>66360</v>
      </c>
    </row>
    <row r="13" ht="48" customHeight="1" spans="1:23">
      <c r="A13" s="7" t="s">
        <v>10</v>
      </c>
      <c r="B13" s="7">
        <f>AVERAGE(B10:B12)</f>
        <v>71906.6666666667</v>
      </c>
      <c r="C13" s="7">
        <f t="shared" ref="C13:W13" si="4">AVERAGE(C10:C12)</f>
        <v>70913.3333333333</v>
      </c>
      <c r="D13" s="7">
        <f t="shared" si="4"/>
        <v>70863.3333333333</v>
      </c>
      <c r="E13" s="7">
        <f t="shared" si="4"/>
        <v>70016.6666666667</v>
      </c>
      <c r="F13" s="7">
        <f t="shared" si="4"/>
        <v>69753.3333333333</v>
      </c>
      <c r="G13" s="7">
        <f t="shared" si="4"/>
        <v>70030</v>
      </c>
      <c r="H13" s="7">
        <f t="shared" si="4"/>
        <v>68856.6666666667</v>
      </c>
      <c r="I13" s="7">
        <f t="shared" si="4"/>
        <v>68240</v>
      </c>
      <c r="J13" s="7">
        <f t="shared" si="4"/>
        <v>66583.3333333333</v>
      </c>
      <c r="K13" s="7">
        <f t="shared" si="4"/>
        <v>65876.6666666667</v>
      </c>
      <c r="L13" s="7">
        <f t="shared" si="4"/>
        <v>64956.6666666667</v>
      </c>
      <c r="M13" s="7">
        <f t="shared" si="4"/>
        <v>65143.3333333333</v>
      </c>
      <c r="N13" s="7">
        <f t="shared" si="4"/>
        <v>64526.6666666667</v>
      </c>
      <c r="O13" s="7">
        <f t="shared" si="4"/>
        <v>64793.3333333333</v>
      </c>
      <c r="P13" s="7">
        <f t="shared" si="4"/>
        <v>65763.3333333333</v>
      </c>
      <c r="Q13" s="7">
        <f t="shared" si="4"/>
        <v>66166.6666666667</v>
      </c>
      <c r="R13" s="7">
        <f t="shared" si="4"/>
        <v>66670</v>
      </c>
      <c r="S13" s="7">
        <f t="shared" si="4"/>
        <v>66203.3333333333</v>
      </c>
      <c r="T13" s="7">
        <f t="shared" si="4"/>
        <v>64830</v>
      </c>
      <c r="U13" s="7">
        <f t="shared" si="4"/>
        <v>64210</v>
      </c>
      <c r="V13" s="7">
        <f t="shared" si="4"/>
        <v>64016.6666666667</v>
      </c>
      <c r="W13" s="7">
        <f t="shared" si="4"/>
        <v>64033.3333333333</v>
      </c>
    </row>
    <row r="14" spans="1:23">
      <c r="A14" s="7" t="s">
        <v>11</v>
      </c>
      <c r="B14" s="9">
        <f>AVERAGE(B13:C13)</f>
        <v>71410</v>
      </c>
      <c r="C14" s="10"/>
      <c r="D14" s="9">
        <f t="shared" ref="B14:F14" si="5">AVERAGE(D13:E13)</f>
        <v>70440</v>
      </c>
      <c r="E14" s="10"/>
      <c r="F14" s="9">
        <f t="shared" si="5"/>
        <v>69891.6666666667</v>
      </c>
      <c r="G14" s="10"/>
      <c r="H14" s="11">
        <f t="shared" ref="H14" si="6">AVERAGE(H13:I13)</f>
        <v>68548.3333333333</v>
      </c>
      <c r="I14" s="11"/>
      <c r="J14" s="11">
        <f t="shared" ref="J14:N14" si="7">AVERAGE(J13:K13)</f>
        <v>66230</v>
      </c>
      <c r="K14" s="11"/>
      <c r="L14" s="11">
        <f t="shared" si="7"/>
        <v>65050</v>
      </c>
      <c r="M14" s="11"/>
      <c r="N14" s="11">
        <f t="shared" si="7"/>
        <v>64660</v>
      </c>
      <c r="O14" s="11"/>
      <c r="P14" s="11">
        <f t="shared" ref="P14:T14" si="8">AVERAGE(P13:Q13)</f>
        <v>65965</v>
      </c>
      <c r="Q14" s="11"/>
      <c r="R14" s="11">
        <f t="shared" si="8"/>
        <v>66436.6666666667</v>
      </c>
      <c r="S14" s="11"/>
      <c r="T14" s="11">
        <f t="shared" si="8"/>
        <v>64520</v>
      </c>
      <c r="U14" s="11"/>
      <c r="V14" s="11">
        <f>AVERAGE(V13:W13)</f>
        <v>64025</v>
      </c>
      <c r="W14" s="11"/>
    </row>
    <row r="15" spans="1:23">
      <c r="A15" s="5" t="s">
        <v>12</v>
      </c>
      <c r="B15" s="4">
        <v>44958</v>
      </c>
      <c r="C15" s="5"/>
      <c r="D15" s="4">
        <v>44986</v>
      </c>
      <c r="E15" s="5"/>
      <c r="F15" s="4">
        <v>45017</v>
      </c>
      <c r="G15" s="5"/>
      <c r="H15" s="4">
        <v>45047</v>
      </c>
      <c r="I15" s="5"/>
      <c r="J15" s="4">
        <v>45078</v>
      </c>
      <c r="K15" s="5"/>
      <c r="L15" s="4">
        <v>45108</v>
      </c>
      <c r="M15" s="5"/>
      <c r="N15" s="4">
        <v>45139</v>
      </c>
      <c r="O15" s="5"/>
      <c r="P15" s="4">
        <v>45170</v>
      </c>
      <c r="Q15" s="5"/>
      <c r="R15" s="4">
        <v>45200</v>
      </c>
      <c r="S15" s="5"/>
      <c r="T15" s="4">
        <v>45231</v>
      </c>
      <c r="U15" s="5"/>
      <c r="V15" s="4">
        <v>45261</v>
      </c>
      <c r="W15" s="5"/>
    </row>
    <row r="16" spans="1:23">
      <c r="A16" s="3"/>
      <c r="B16" s="3"/>
      <c r="C16" s="3"/>
      <c r="D16" s="3"/>
      <c r="E16" s="3"/>
      <c r="F16" s="3"/>
      <c r="G16" s="3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>
      <c r="A17" s="7" t="s">
        <v>13</v>
      </c>
      <c r="B17" s="7"/>
      <c r="C17" s="7"/>
      <c r="D17" s="7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>
      <c r="A18" s="7" t="s">
        <v>14</v>
      </c>
      <c r="B18" s="7">
        <v>73970</v>
      </c>
      <c r="C18" s="7">
        <v>71840</v>
      </c>
      <c r="D18" s="7">
        <v>73020</v>
      </c>
      <c r="E18" s="7">
        <v>71960</v>
      </c>
      <c r="F18" s="7">
        <v>72310</v>
      </c>
      <c r="G18" s="7">
        <v>73020</v>
      </c>
      <c r="H18" s="8">
        <v>72200</v>
      </c>
      <c r="I18" s="8">
        <v>70540</v>
      </c>
      <c r="J18" s="8">
        <v>68940</v>
      </c>
      <c r="K18" s="8">
        <v>66940</v>
      </c>
      <c r="L18" s="8">
        <v>66300</v>
      </c>
      <c r="M18" s="8">
        <v>67360</v>
      </c>
      <c r="N18" s="8">
        <v>67010</v>
      </c>
      <c r="O18" s="8">
        <v>67120</v>
      </c>
      <c r="P18" s="8">
        <v>67660</v>
      </c>
      <c r="Q18" s="8">
        <v>68300</v>
      </c>
      <c r="R18" s="8">
        <v>70020</v>
      </c>
      <c r="S18" s="8">
        <v>69780</v>
      </c>
      <c r="T18" s="8">
        <v>67580</v>
      </c>
      <c r="U18" s="8">
        <v>66590</v>
      </c>
      <c r="V18" s="8">
        <v>66890</v>
      </c>
      <c r="W18" s="8">
        <v>66360</v>
      </c>
    </row>
    <row r="19" spans="1:23">
      <c r="A19" s="7" t="s">
        <v>15</v>
      </c>
      <c r="B19" s="7">
        <v>74270</v>
      </c>
      <c r="C19" s="7">
        <v>73020</v>
      </c>
      <c r="D19" s="7">
        <v>74350</v>
      </c>
      <c r="E19" s="7">
        <v>74350</v>
      </c>
      <c r="F19" s="7">
        <v>74970</v>
      </c>
      <c r="G19" s="7">
        <v>75420</v>
      </c>
      <c r="H19" s="8">
        <v>74850</v>
      </c>
      <c r="I19" s="8">
        <v>73790</v>
      </c>
      <c r="J19" s="8">
        <v>71260</v>
      </c>
      <c r="K19" s="8">
        <v>72790</v>
      </c>
      <c r="L19" s="8">
        <v>71840</v>
      </c>
      <c r="M19" s="8">
        <v>72380</v>
      </c>
      <c r="N19" s="8">
        <v>71490</v>
      </c>
      <c r="O19" s="8">
        <v>71380</v>
      </c>
      <c r="P19" s="8">
        <v>71910</v>
      </c>
      <c r="Q19" s="8">
        <v>72030</v>
      </c>
      <c r="R19" s="8">
        <v>73210</v>
      </c>
      <c r="S19" s="8">
        <v>72440</v>
      </c>
      <c r="T19" s="8">
        <v>70250</v>
      </c>
      <c r="U19" s="8">
        <v>71380</v>
      </c>
      <c r="V19" s="8">
        <v>71150</v>
      </c>
      <c r="W19" s="8">
        <v>70080</v>
      </c>
    </row>
    <row r="20" ht="46" customHeight="1" spans="1:23">
      <c r="A20" s="6" t="s">
        <v>87</v>
      </c>
      <c r="B20" s="7">
        <f>AVERAGE(B18:B19)</f>
        <v>74120</v>
      </c>
      <c r="C20" s="7">
        <f t="shared" ref="C20:W20" si="9">AVERAGE(C18:C19)</f>
        <v>72430</v>
      </c>
      <c r="D20" s="7">
        <f t="shared" si="9"/>
        <v>73685</v>
      </c>
      <c r="E20" s="7">
        <f t="shared" si="9"/>
        <v>73155</v>
      </c>
      <c r="F20" s="7">
        <f t="shared" si="9"/>
        <v>73640</v>
      </c>
      <c r="G20" s="7">
        <f t="shared" si="9"/>
        <v>74220</v>
      </c>
      <c r="H20" s="7">
        <f t="shared" si="9"/>
        <v>73525</v>
      </c>
      <c r="I20" s="7">
        <f t="shared" si="9"/>
        <v>72165</v>
      </c>
      <c r="J20" s="7">
        <f t="shared" si="9"/>
        <v>70100</v>
      </c>
      <c r="K20" s="7">
        <f t="shared" si="9"/>
        <v>69865</v>
      </c>
      <c r="L20" s="7">
        <f t="shared" si="9"/>
        <v>69070</v>
      </c>
      <c r="M20" s="7">
        <f t="shared" si="9"/>
        <v>69870</v>
      </c>
      <c r="N20" s="7">
        <f t="shared" si="9"/>
        <v>69250</v>
      </c>
      <c r="O20" s="7">
        <f t="shared" si="9"/>
        <v>69250</v>
      </c>
      <c r="P20" s="7">
        <f t="shared" si="9"/>
        <v>69785</v>
      </c>
      <c r="Q20" s="7">
        <f t="shared" si="9"/>
        <v>70165</v>
      </c>
      <c r="R20" s="7">
        <f t="shared" si="9"/>
        <v>71615</v>
      </c>
      <c r="S20" s="7">
        <f t="shared" si="9"/>
        <v>71110</v>
      </c>
      <c r="T20" s="7">
        <f t="shared" si="9"/>
        <v>68915</v>
      </c>
      <c r="U20" s="7">
        <f t="shared" si="9"/>
        <v>68985</v>
      </c>
      <c r="V20" s="7">
        <f t="shared" si="9"/>
        <v>69020</v>
      </c>
      <c r="W20" s="7">
        <f t="shared" si="9"/>
        <v>68220</v>
      </c>
    </row>
    <row r="21" spans="1:23">
      <c r="A21" s="7" t="s">
        <v>17</v>
      </c>
      <c r="B21" s="12">
        <f>AVERAGE(B20:C20)</f>
        <v>73275</v>
      </c>
      <c r="C21" s="13"/>
      <c r="D21" s="12">
        <f t="shared" ref="B21:F21" si="10">AVERAGE(D20:E20)</f>
        <v>73420</v>
      </c>
      <c r="E21" s="13"/>
      <c r="F21" s="12">
        <f t="shared" si="10"/>
        <v>73930</v>
      </c>
      <c r="G21" s="13"/>
      <c r="H21" s="14">
        <f t="shared" ref="H21" si="11">AVERAGE(H20:I20)</f>
        <v>72845</v>
      </c>
      <c r="I21" s="14"/>
      <c r="J21" s="14">
        <f t="shared" ref="J21:N21" si="12">AVERAGE(J20:K20)</f>
        <v>69982.5</v>
      </c>
      <c r="K21" s="14"/>
      <c r="L21" s="14">
        <f t="shared" si="12"/>
        <v>69470</v>
      </c>
      <c r="M21" s="14"/>
      <c r="N21" s="14">
        <f t="shared" si="12"/>
        <v>69250</v>
      </c>
      <c r="O21" s="14"/>
      <c r="P21" s="14">
        <f t="shared" ref="P21:T21" si="13">AVERAGE(P20:Q20)</f>
        <v>69975</v>
      </c>
      <c r="Q21" s="14"/>
      <c r="R21" s="14">
        <f t="shared" si="13"/>
        <v>71362.5</v>
      </c>
      <c r="S21" s="14"/>
      <c r="T21" s="14">
        <f t="shared" si="13"/>
        <v>68950</v>
      </c>
      <c r="U21" s="14"/>
      <c r="V21" s="14">
        <f>AVERAGE(V20:W20)</f>
        <v>68620</v>
      </c>
      <c r="W21" s="14"/>
    </row>
    <row r="22" spans="1:23">
      <c r="A22" s="5" t="s">
        <v>12</v>
      </c>
      <c r="B22" s="4">
        <v>44958</v>
      </c>
      <c r="C22" s="5"/>
      <c r="D22" s="4">
        <v>44986</v>
      </c>
      <c r="E22" s="5"/>
      <c r="F22" s="4">
        <v>45017</v>
      </c>
      <c r="G22" s="5"/>
      <c r="H22" s="4">
        <v>45047</v>
      </c>
      <c r="I22" s="5"/>
      <c r="J22" s="4">
        <v>45078</v>
      </c>
      <c r="K22" s="5"/>
      <c r="L22" s="4">
        <v>45108</v>
      </c>
      <c r="M22" s="5"/>
      <c r="N22" s="4">
        <v>45139</v>
      </c>
      <c r="O22" s="5"/>
      <c r="P22" s="4">
        <v>45170</v>
      </c>
      <c r="Q22" s="5"/>
      <c r="R22" s="4">
        <v>45200</v>
      </c>
      <c r="S22" s="5"/>
      <c r="T22" s="4">
        <v>45231</v>
      </c>
      <c r="U22" s="5"/>
      <c r="V22" s="4">
        <v>45261</v>
      </c>
      <c r="W22" s="5"/>
    </row>
    <row r="23" spans="1:23">
      <c r="A23" s="3"/>
      <c r="B23" s="3"/>
      <c r="C23" s="3"/>
      <c r="D23" s="3"/>
      <c r="E23" s="3"/>
      <c r="F23" s="3"/>
      <c r="G23" s="3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24" spans="1:23">
      <c r="A24" s="7" t="s">
        <v>18</v>
      </c>
      <c r="B24" s="7"/>
      <c r="C24" s="7"/>
      <c r="D24" s="7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>
      <c r="A25" s="7" t="s">
        <v>19</v>
      </c>
      <c r="B25" s="7">
        <f>AVERAGE(B6,B13,B20)</f>
        <v>72978.8888888889</v>
      </c>
      <c r="C25" s="15">
        <f>AVERAGE(C6,C13,C20)</f>
        <v>71586.1111111111</v>
      </c>
      <c r="D25" s="15">
        <f>AVERAGE(D6,D13,D20)</f>
        <v>71824.4444444444</v>
      </c>
      <c r="E25" s="15">
        <f>AVERAGE(E6,E13,E20)</f>
        <v>71073.8888888889</v>
      </c>
      <c r="F25" s="15">
        <f>AVERAGE(F6,F13,F20)</f>
        <v>70944.4444444444</v>
      </c>
      <c r="G25" s="15">
        <f>AVERAGE(G6,G13,G20)</f>
        <v>71015</v>
      </c>
      <c r="H25" s="11">
        <f t="shared" ref="H25:W25" si="14">AVERAGE(H6,H13,H20)</f>
        <v>69807.2222222222</v>
      </c>
      <c r="I25" s="11">
        <f t="shared" si="14"/>
        <v>68863.3333333333</v>
      </c>
      <c r="J25" s="11">
        <f t="shared" si="14"/>
        <v>67117.7777777778</v>
      </c>
      <c r="K25" s="11">
        <f t="shared" si="14"/>
        <v>66395.5555555556</v>
      </c>
      <c r="L25" s="11">
        <f t="shared" si="14"/>
        <v>65240.5555555556</v>
      </c>
      <c r="M25" s="11">
        <f t="shared" si="14"/>
        <v>64982.7777777778</v>
      </c>
      <c r="N25" s="11">
        <f t="shared" si="14"/>
        <v>64730.5555555556</v>
      </c>
      <c r="O25" s="11">
        <f t="shared" si="14"/>
        <v>65282.7777777778</v>
      </c>
      <c r="P25" s="11">
        <f t="shared" si="14"/>
        <v>66716.1111111111</v>
      </c>
      <c r="Q25" s="11">
        <f t="shared" si="14"/>
        <v>67445.5555555556</v>
      </c>
      <c r="R25" s="11">
        <f t="shared" si="14"/>
        <v>68153.3333333333</v>
      </c>
      <c r="S25" s="11">
        <f t="shared" si="14"/>
        <v>67539.4444444444</v>
      </c>
      <c r="T25" s="11">
        <f t="shared" si="14"/>
        <v>56355</v>
      </c>
      <c r="U25" s="11">
        <f t="shared" si="14"/>
        <v>65640</v>
      </c>
      <c r="V25" s="11">
        <f t="shared" si="14"/>
        <v>65417.2222222222</v>
      </c>
      <c r="W25" s="11">
        <f t="shared" si="14"/>
        <v>64764.4444444444</v>
      </c>
    </row>
    <row r="26" spans="1:23">
      <c r="A26" s="7" t="s">
        <v>20</v>
      </c>
      <c r="B26" s="16">
        <f>AVERAGE(B25:C25)</f>
        <v>72282.5</v>
      </c>
      <c r="C26" s="17"/>
      <c r="D26" s="16">
        <f t="shared" ref="B26:F26" si="15">AVERAGE(D25:E25)</f>
        <v>71449.1666666667</v>
      </c>
      <c r="E26" s="17"/>
      <c r="F26" s="16">
        <f t="shared" si="15"/>
        <v>70979.7222222222</v>
      </c>
      <c r="G26" s="17"/>
      <c r="H26" s="14">
        <f t="shared" ref="H26" si="16">AVERAGE(H25:I25)</f>
        <v>69335.2777777778</v>
      </c>
      <c r="I26" s="14"/>
      <c r="J26" s="14">
        <f t="shared" ref="J26:N26" si="17">AVERAGE(J25:K25)</f>
        <v>66756.6666666667</v>
      </c>
      <c r="K26" s="14"/>
      <c r="L26" s="14">
        <f t="shared" si="17"/>
        <v>65111.6666666667</v>
      </c>
      <c r="M26" s="14"/>
      <c r="N26" s="14">
        <f t="shared" si="17"/>
        <v>65006.6666666667</v>
      </c>
      <c r="O26" s="14"/>
      <c r="P26" s="14">
        <f t="shared" ref="P26:T26" si="18">AVERAGE(P25:Q25)</f>
        <v>67080.8333333333</v>
      </c>
      <c r="Q26" s="14"/>
      <c r="R26" s="14">
        <f t="shared" si="18"/>
        <v>67846.3888888889</v>
      </c>
      <c r="S26" s="14"/>
      <c r="T26" s="14">
        <f t="shared" si="18"/>
        <v>60997.5</v>
      </c>
      <c r="U26" s="14"/>
      <c r="V26" s="14">
        <f>AVERAGE(V25:W25)</f>
        <v>65090.8333333333</v>
      </c>
      <c r="W26" s="14"/>
    </row>
    <row r="27" spans="1:23">
      <c r="A27" s="5" t="s">
        <v>12</v>
      </c>
      <c r="B27" s="4">
        <v>44958</v>
      </c>
      <c r="C27" s="5"/>
      <c r="D27" s="4">
        <v>44986</v>
      </c>
      <c r="E27" s="5"/>
      <c r="F27" s="4">
        <v>45017</v>
      </c>
      <c r="G27" s="5"/>
      <c r="H27" s="4">
        <v>45047</v>
      </c>
      <c r="I27" s="5"/>
      <c r="J27" s="4">
        <v>45078</v>
      </c>
      <c r="K27" s="5"/>
      <c r="L27" s="4">
        <v>45108</v>
      </c>
      <c r="M27" s="5"/>
      <c r="N27" s="4">
        <v>45139</v>
      </c>
      <c r="O27" s="5"/>
      <c r="P27" s="4">
        <v>45170</v>
      </c>
      <c r="Q27" s="5"/>
      <c r="R27" s="4">
        <v>45200</v>
      </c>
      <c r="S27" s="5"/>
      <c r="T27" s="4">
        <v>45231</v>
      </c>
      <c r="U27" s="5"/>
      <c r="V27" s="4">
        <v>45261</v>
      </c>
      <c r="W27" s="5"/>
    </row>
  </sheetData>
  <mergeCells count="88"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2026</vt:lpstr>
      <vt:lpstr>2025</vt:lpstr>
      <vt:lpstr>2024</vt:lpstr>
      <vt:lpstr>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CSTM PVC All Index New and Old.xlsx</dc:title>
  <dc:creator>Rakita</dc:creator>
  <cp:lastModifiedBy>lenovo</cp:lastModifiedBy>
  <dcterms:created xsi:type="dcterms:W3CDTF">2026-02-12T17:01:00Z</dcterms:created>
  <dcterms:modified xsi:type="dcterms:W3CDTF">2026-05-07T10:16:08Z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2025-11-21T00:00:00Z</vt:filetime>
  </property>
  <property fmtid="{D5CDD505-2E9C-101B-9397-08002B2CF9AE}" pid="3" name="LastSaved">
    <vt:filetime>2026-02-12T00:00:00Z</vt:filetime>
  </property>
  <property fmtid="{D5CDD505-2E9C-101B-9397-08002B2CF9AE}" pid="4" name="Producer">
    <vt:lpwstr>Microsoft: Print To PDF</vt:lpwstr>
  </property>
  <property fmtid="{D5CDD505-2E9C-101B-9397-08002B2CF9AE}" pid="5" name="ICV">
    <vt:lpwstr>A6FA75537F9D4CD7A4341EF63972976D_12</vt:lpwstr>
  </property>
  <property fmtid="{D5CDD505-2E9C-101B-9397-08002B2CF9AE}" pid="6" name="KSOProductBuildVer">
    <vt:lpwstr>1033-12.1.0.25242</vt:lpwstr>
  </property>
  <property fmtid="{D5CDD505-2E9C-101B-9397-08002B2CF9AE}" pid="7" name="CalculationRule">
    <vt:i4>0</vt:i4>
  </property>
</Properties>
</file>